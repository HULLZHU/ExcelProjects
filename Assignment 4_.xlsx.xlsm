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38516\Desktop\"/>
    </mc:Choice>
  </mc:AlternateContent>
  <xr:revisionPtr revIDLastSave="0" documentId="13_ncr:1_{3CC43376-3C96-40E3-84FB-D250C6E84659}" xr6:coauthVersionLast="45" xr6:coauthVersionMax="45" xr10:uidLastSave="{00000000-0000-0000-0000-000000000000}"/>
  <bookViews>
    <workbookView xWindow="-120" yWindow="-120" windowWidth="38640" windowHeight="21240" activeTab="5" xr2:uid="{00000000-000D-0000-FFFF-FFFF00000000}"/>
  </bookViews>
  <sheets>
    <sheet name="Q1" sheetId="22" r:id="rId1"/>
    <sheet name="Q2" sheetId="23" r:id="rId2"/>
    <sheet name="Q3-Investment Grade" sheetId="24" r:id="rId3"/>
    <sheet name="Q3-Speculative" sheetId="29" r:id="rId4"/>
    <sheet name="Q3-Combined" sheetId="26" r:id="rId5"/>
    <sheet name="Results Compared" sheetId="28" r:id="rId6"/>
    <sheet name="Discrete Distribution" sheetId="25" r:id="rId7"/>
  </sheets>
  <functionGroups builtInGroupCount="19"/>
  <externalReferences>
    <externalReference r:id="rId8"/>
  </externalReferences>
  <definedNames>
    <definedName name="solver_adj" localSheetId="1" hidden="1">'Q2'!$B$42</definedName>
    <definedName name="solver_adj" localSheetId="4" hidden="1">'Q3-Combined'!$B$2:$B$3,'Q3-Combined'!$E$2:$E$3</definedName>
    <definedName name="solver_adj" localSheetId="2" hidden="1">'Q3-Investment Grade'!$B$2:$B$3</definedName>
    <definedName name="solver_adj" localSheetId="3" hidden="1">'Q3-Speculative'!$B$2:$B$3</definedName>
    <definedName name="solver_cvg" localSheetId="1" hidden="1">0.0001</definedName>
    <definedName name="solver_cvg" localSheetId="4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4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4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4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4" hidden="1">2147483647</definedName>
    <definedName name="solver_itr" localSheetId="2" hidden="1">2147483647</definedName>
    <definedName name="solver_itr" localSheetId="3" hidden="1">2147483647</definedName>
    <definedName name="solver_lhs1" localSheetId="1" hidden="1">'Q2'!$B$42</definedName>
    <definedName name="solver_mip" localSheetId="1" hidden="1">2147483647</definedName>
    <definedName name="solver_mip" localSheetId="4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4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4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4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4" hidden="1">1</definedName>
    <definedName name="solver_neg" localSheetId="2" hidden="1">1</definedName>
    <definedName name="solver_neg" localSheetId="3" hidden="1">1</definedName>
    <definedName name="solver_nod" localSheetId="1" hidden="1">2147483647</definedName>
    <definedName name="solver_nod" localSheetId="4" hidden="1">2147483647</definedName>
    <definedName name="solver_nod" localSheetId="2" hidden="1">2147483647</definedName>
    <definedName name="solver_nod" localSheetId="3" hidden="1">2147483647</definedName>
    <definedName name="solver_num" localSheetId="1" hidden="1">0</definedName>
    <definedName name="solver_num" localSheetId="4" hidden="1">0</definedName>
    <definedName name="solver_num" localSheetId="2" hidden="1">0</definedName>
    <definedName name="solver_num" localSheetId="3" hidden="1">0</definedName>
    <definedName name="solver_nwt" localSheetId="1" hidden="1">1</definedName>
    <definedName name="solver_nwt" localSheetId="4" hidden="1">1</definedName>
    <definedName name="solver_nwt" localSheetId="2" hidden="1">1</definedName>
    <definedName name="solver_nwt" localSheetId="3" hidden="1">1</definedName>
    <definedName name="solver_opt" localSheetId="1" hidden="1">'Q2'!$B$44</definedName>
    <definedName name="solver_opt" localSheetId="4" hidden="1">'Q3-Combined'!$B$6</definedName>
    <definedName name="solver_opt" localSheetId="2" hidden="1">'Q3-Investment Grade'!$B$6</definedName>
    <definedName name="solver_opt" localSheetId="3" hidden="1">'Q3-Speculative'!$B$6</definedName>
    <definedName name="solver_pre" localSheetId="1" hidden="1">0.000001</definedName>
    <definedName name="solver_pre" localSheetId="4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4" hidden="1">1</definedName>
    <definedName name="solver_rbv" localSheetId="2" hidden="1">1</definedName>
    <definedName name="solver_rbv" localSheetId="3" hidden="1">1</definedName>
    <definedName name="solver_rel1" localSheetId="1" hidden="1">1</definedName>
    <definedName name="solver_rhs1" localSheetId="1" hidden="1">1</definedName>
    <definedName name="solver_rlx" localSheetId="1" hidden="1">2</definedName>
    <definedName name="solver_rlx" localSheetId="4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4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4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4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4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4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4" hidden="1">0.01</definedName>
    <definedName name="solver_tol" localSheetId="2" hidden="1">0.01</definedName>
    <definedName name="solver_tol" localSheetId="3" hidden="1">0.01</definedName>
    <definedName name="solver_typ" localSheetId="1" hidden="1">3</definedName>
    <definedName name="solver_typ" localSheetId="4" hidden="1">1</definedName>
    <definedName name="solver_typ" localSheetId="2" hidden="1">1</definedName>
    <definedName name="solver_typ" localSheetId="3" hidden="1">1</definedName>
    <definedName name="solver_val" localSheetId="1" hidden="1">0.00000193414422127</definedName>
    <definedName name="solver_val" localSheetId="4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4" hidden="1">3</definedName>
    <definedName name="solver_ver" localSheetId="2" hidden="1">3</definedName>
    <definedName name="solver_ver" localSheetId="3" hidden="1">3</definedName>
  </definedNames>
  <calcPr calcId="191029" iterate="1" iterateCount="32767" iterateDelta="1.0000000000000001E-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28" l="1"/>
  <c r="D13" i="28"/>
  <c r="I3" i="28" s="1"/>
  <c r="I4" i="28"/>
  <c r="I5" i="28"/>
  <c r="D14" i="28"/>
  <c r="D15" i="28" s="1"/>
  <c r="B15" i="28"/>
  <c r="F4" i="28"/>
  <c r="F5" i="28" s="1"/>
  <c r="F3" i="28"/>
  <c r="E5" i="28"/>
  <c r="E4" i="28" s="1"/>
  <c r="E3" i="28"/>
  <c r="C4" i="28"/>
  <c r="C14" i="28"/>
  <c r="C3" i="28"/>
  <c r="B5" i="28"/>
  <c r="B4" i="28" s="1"/>
  <c r="B14" i="28" s="1"/>
  <c r="B3" i="28"/>
  <c r="B13" i="28" s="1"/>
  <c r="AL6" i="29"/>
  <c r="AL16" i="29" s="1"/>
  <c r="AK6" i="29"/>
  <c r="AK16" i="29" s="1"/>
  <c r="AJ6" i="29"/>
  <c r="AJ16" i="29" s="1"/>
  <c r="AI6" i="29"/>
  <c r="AH6" i="29"/>
  <c r="AH16" i="29" s="1"/>
  <c r="AG6" i="29"/>
  <c r="AG16" i="29" s="1"/>
  <c r="AF6" i="29"/>
  <c r="AF16" i="29" s="1"/>
  <c r="AE6" i="29"/>
  <c r="AE16" i="29" s="1"/>
  <c r="AD6" i="29"/>
  <c r="AD16" i="29" s="1"/>
  <c r="AC6" i="29"/>
  <c r="AC16" i="29" s="1"/>
  <c r="AB6" i="29"/>
  <c r="AB16" i="29" s="1"/>
  <c r="AA6" i="29"/>
  <c r="Z6" i="29"/>
  <c r="Z22" i="29" s="1"/>
  <c r="Y6" i="29"/>
  <c r="Y22" i="29" s="1"/>
  <c r="X6" i="29"/>
  <c r="X22" i="29" s="1"/>
  <c r="W6" i="29"/>
  <c r="W22" i="29" s="1"/>
  <c r="V6" i="29"/>
  <c r="V22" i="29" s="1"/>
  <c r="U6" i="29"/>
  <c r="U16" i="29" s="1"/>
  <c r="T6" i="29"/>
  <c r="T16" i="29" s="1"/>
  <c r="S6" i="29"/>
  <c r="R6" i="29"/>
  <c r="R16" i="29" s="1"/>
  <c r="Q6" i="29"/>
  <c r="Q23" i="29" s="1"/>
  <c r="P6" i="29"/>
  <c r="P23" i="29" s="1"/>
  <c r="O6" i="29"/>
  <c r="O23" i="29" s="1"/>
  <c r="N6" i="29"/>
  <c r="N16" i="29" s="1"/>
  <c r="M6" i="29"/>
  <c r="M16" i="29" s="1"/>
  <c r="L6" i="29"/>
  <c r="L16" i="29" s="1"/>
  <c r="K6" i="29"/>
  <c r="J6" i="29"/>
  <c r="J16" i="29" s="1"/>
  <c r="I6" i="29"/>
  <c r="I16" i="29" s="1"/>
  <c r="H6" i="29"/>
  <c r="H16" i="29" s="1"/>
  <c r="G2" i="29"/>
  <c r="G6" i="29" s="1"/>
  <c r="G32" i="29" s="1"/>
  <c r="AN7" i="26"/>
  <c r="AM7" i="26"/>
  <c r="AL7" i="26"/>
  <c r="AK7" i="26"/>
  <c r="AJ7" i="26"/>
  <c r="AI7" i="26"/>
  <c r="AH7" i="26"/>
  <c r="AG7" i="26"/>
  <c r="AF7" i="26"/>
  <c r="AE7" i="26"/>
  <c r="AD7" i="26"/>
  <c r="AC7" i="26"/>
  <c r="AB7" i="26"/>
  <c r="AA7" i="26"/>
  <c r="Z7" i="26"/>
  <c r="Y7" i="26"/>
  <c r="X7" i="26"/>
  <c r="W7" i="26"/>
  <c r="V7" i="26"/>
  <c r="U7" i="26"/>
  <c r="T7" i="26"/>
  <c r="S7" i="26"/>
  <c r="R7" i="26"/>
  <c r="Q7" i="26"/>
  <c r="P7" i="26"/>
  <c r="O7" i="26"/>
  <c r="N7" i="26"/>
  <c r="M7" i="26"/>
  <c r="L7" i="26"/>
  <c r="K7" i="26"/>
  <c r="J7" i="26"/>
  <c r="I7" i="26"/>
  <c r="AN6" i="26"/>
  <c r="AM6" i="26"/>
  <c r="AL6" i="26"/>
  <c r="AK6" i="26"/>
  <c r="AJ6" i="26"/>
  <c r="AI6" i="26"/>
  <c r="AH6" i="26"/>
  <c r="AG6" i="26"/>
  <c r="AF6" i="26"/>
  <c r="AE6" i="26"/>
  <c r="AD6" i="26"/>
  <c r="AC6" i="26"/>
  <c r="AB6" i="26"/>
  <c r="AA6" i="26"/>
  <c r="Z6" i="26"/>
  <c r="Y6" i="26"/>
  <c r="X6" i="26"/>
  <c r="W6" i="26"/>
  <c r="V6" i="26"/>
  <c r="U6" i="26"/>
  <c r="T6" i="26"/>
  <c r="S6" i="26"/>
  <c r="R6" i="26"/>
  <c r="Q6" i="26"/>
  <c r="P6" i="26"/>
  <c r="O6" i="26"/>
  <c r="N6" i="26"/>
  <c r="M6" i="26"/>
  <c r="L6" i="26"/>
  <c r="K6" i="26"/>
  <c r="J6" i="26"/>
  <c r="I6" i="26"/>
  <c r="B6" i="24"/>
  <c r="G2" i="24"/>
  <c r="E33" i="25"/>
  <c r="C33" i="25"/>
  <c r="E32" i="25"/>
  <c r="C32" i="25"/>
  <c r="E31" i="25"/>
  <c r="C31" i="25"/>
  <c r="E30" i="25"/>
  <c r="C30" i="25"/>
  <c r="E29" i="25"/>
  <c r="C29" i="25"/>
  <c r="E28" i="25"/>
  <c r="C28" i="25"/>
  <c r="E27" i="25"/>
  <c r="C27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H7" i="25"/>
  <c r="E7" i="25"/>
  <c r="C7" i="25"/>
  <c r="E6" i="25"/>
  <c r="C6" i="25"/>
  <c r="E5" i="25"/>
  <c r="C5" i="25"/>
  <c r="E4" i="25"/>
  <c r="C4" i="25"/>
  <c r="E3" i="25"/>
  <c r="H8" i="25" s="1"/>
  <c r="C3" i="25"/>
  <c r="E2" i="25"/>
  <c r="C2" i="25"/>
  <c r="C34" i="25" s="1"/>
  <c r="AL6" i="24"/>
  <c r="AL41" i="24" s="1"/>
  <c r="AK6" i="24"/>
  <c r="AK10" i="24" s="1"/>
  <c r="AJ6" i="24"/>
  <c r="AJ39" i="24" s="1"/>
  <c r="AI6" i="24"/>
  <c r="AI35" i="24" s="1"/>
  <c r="AH6" i="24"/>
  <c r="AH35" i="24" s="1"/>
  <c r="AG6" i="24"/>
  <c r="AG16" i="24" s="1"/>
  <c r="AF6" i="24"/>
  <c r="AF16" i="24" s="1"/>
  <c r="AE6" i="24"/>
  <c r="AE17" i="24" s="1"/>
  <c r="AD6" i="24"/>
  <c r="AD41" i="24" s="1"/>
  <c r="AC6" i="24"/>
  <c r="AC16" i="24" s="1"/>
  <c r="AB6" i="24"/>
  <c r="AB39" i="24" s="1"/>
  <c r="AA6" i="24"/>
  <c r="AA37" i="24" s="1"/>
  <c r="Z6" i="24"/>
  <c r="Z29" i="24" s="1"/>
  <c r="Y6" i="24"/>
  <c r="Y13" i="24" s="1"/>
  <c r="X6" i="24"/>
  <c r="X41" i="24" s="1"/>
  <c r="W6" i="24"/>
  <c r="W11" i="24" s="1"/>
  <c r="V6" i="24"/>
  <c r="V41" i="24" s="1"/>
  <c r="U6" i="24"/>
  <c r="U14" i="24" s="1"/>
  <c r="T6" i="24"/>
  <c r="T39" i="24" s="1"/>
  <c r="S6" i="24"/>
  <c r="S27" i="24" s="1"/>
  <c r="R6" i="24"/>
  <c r="R23" i="24" s="1"/>
  <c r="Q6" i="24"/>
  <c r="Q10" i="24" s="1"/>
  <c r="P6" i="24"/>
  <c r="P41" i="24" s="1"/>
  <c r="O6" i="24"/>
  <c r="O28" i="24" s="1"/>
  <c r="N6" i="24"/>
  <c r="N41" i="24" s="1"/>
  <c r="M6" i="24"/>
  <c r="M16" i="24" s="1"/>
  <c r="L6" i="24"/>
  <c r="L39" i="24" s="1"/>
  <c r="K6" i="24"/>
  <c r="K25" i="24" s="1"/>
  <c r="J6" i="24"/>
  <c r="J33" i="24" s="1"/>
  <c r="I6" i="24"/>
  <c r="I41" i="24" s="1"/>
  <c r="H6" i="24"/>
  <c r="H41" i="24" s="1"/>
  <c r="G6" i="24"/>
  <c r="G39" i="24" s="1"/>
  <c r="B36" i="23"/>
  <c r="J39" i="26"/>
  <c r="R39" i="26"/>
  <c r="Z39" i="26"/>
  <c r="AH39" i="26"/>
  <c r="K40" i="26"/>
  <c r="S40" i="26"/>
  <c r="AA40" i="26"/>
  <c r="AI40" i="26"/>
  <c r="L41" i="26"/>
  <c r="T41" i="26"/>
  <c r="AB41" i="26"/>
  <c r="AJ41" i="26"/>
  <c r="S39" i="26"/>
  <c r="L40" i="26"/>
  <c r="U41" i="26"/>
  <c r="K39" i="26"/>
  <c r="AA39" i="26"/>
  <c r="AJ40" i="26"/>
  <c r="AK41" i="26"/>
  <c r="L39" i="26"/>
  <c r="T39" i="26"/>
  <c r="AB39" i="26"/>
  <c r="AJ39" i="26"/>
  <c r="M40" i="26"/>
  <c r="U40" i="26"/>
  <c r="AC40" i="26"/>
  <c r="AK40" i="26"/>
  <c r="N41" i="26"/>
  <c r="V41" i="26"/>
  <c r="AD41" i="26"/>
  <c r="AL41" i="26"/>
  <c r="AL39" i="26"/>
  <c r="AM40" i="26"/>
  <c r="AF41" i="26"/>
  <c r="O39" i="26"/>
  <c r="P40" i="26"/>
  <c r="Y41" i="26"/>
  <c r="T40" i="26"/>
  <c r="M39" i="26"/>
  <c r="U39" i="26"/>
  <c r="AC39" i="26"/>
  <c r="AK39" i="26"/>
  <c r="N40" i="26"/>
  <c r="V40" i="26"/>
  <c r="AD40" i="26"/>
  <c r="AL40" i="26"/>
  <c r="O41" i="26"/>
  <c r="W41" i="26"/>
  <c r="AE41" i="26"/>
  <c r="AM41" i="26"/>
  <c r="O40" i="26"/>
  <c r="P41" i="26"/>
  <c r="AN41" i="26"/>
  <c r="W39" i="26"/>
  <c r="X40" i="26"/>
  <c r="Q41" i="26"/>
  <c r="AB40" i="26"/>
  <c r="N39" i="26"/>
  <c r="V39" i="26"/>
  <c r="AD39" i="26"/>
  <c r="W40" i="26"/>
  <c r="AE40" i="26"/>
  <c r="X41" i="26"/>
  <c r="AE39" i="26"/>
  <c r="AF40" i="26"/>
  <c r="AN40" i="26"/>
  <c r="AG41" i="26"/>
  <c r="AI39" i="26"/>
  <c r="AM39" i="26"/>
  <c r="AC41" i="26"/>
  <c r="P39" i="26"/>
  <c r="X39" i="26"/>
  <c r="AF39" i="26"/>
  <c r="AN39" i="26"/>
  <c r="Q40" i="26"/>
  <c r="Y40" i="26"/>
  <c r="AG40" i="26"/>
  <c r="J41" i="26"/>
  <c r="R41" i="26"/>
  <c r="Z41" i="26"/>
  <c r="AH41" i="26"/>
  <c r="Q39" i="26"/>
  <c r="Y39" i="26"/>
  <c r="AG39" i="26"/>
  <c r="J40" i="26"/>
  <c r="R40" i="26"/>
  <c r="Z40" i="26"/>
  <c r="AH40" i="26"/>
  <c r="K41" i="26"/>
  <c r="S41" i="26"/>
  <c r="AA41" i="26"/>
  <c r="AI41" i="26"/>
  <c r="M41" i="26"/>
  <c r="I40" i="26"/>
  <c r="I41" i="26"/>
  <c r="I39" i="26"/>
  <c r="T30" i="26"/>
  <c r="AB26" i="26"/>
  <c r="AL19" i="26"/>
  <c r="S18" i="26"/>
  <c r="Y14" i="26"/>
  <c r="S11" i="26"/>
  <c r="I34" i="26"/>
  <c r="AG21" i="26"/>
  <c r="AL18" i="26"/>
  <c r="K15" i="26"/>
  <c r="AG10" i="26"/>
  <c r="AN32" i="26"/>
  <c r="X28" i="26"/>
  <c r="AC23" i="26"/>
  <c r="AB18" i="26"/>
  <c r="Q14" i="26"/>
  <c r="AA11" i="26"/>
  <c r="M29" i="26"/>
  <c r="L26" i="26"/>
  <c r="M20" i="26"/>
  <c r="J18" i="26"/>
  <c r="AG14" i="26"/>
  <c r="AI11" i="26"/>
  <c r="I10" i="26"/>
  <c r="AC29" i="26"/>
  <c r="AC20" i="26"/>
  <c r="S15" i="26"/>
  <c r="Q10" i="26"/>
  <c r="AN28" i="26"/>
  <c r="Q21" i="26"/>
  <c r="AI15" i="26"/>
  <c r="I14" i="26"/>
  <c r="K11" i="26"/>
  <c r="AD31" i="26"/>
  <c r="M23" i="26"/>
  <c r="V19" i="26"/>
  <c r="AA15" i="26"/>
  <c r="Y10" i="26"/>
  <c r="AI24" i="26"/>
  <c r="M16" i="26"/>
  <c r="Y25" i="26"/>
  <c r="Q34" i="26"/>
  <c r="I25" i="26"/>
  <c r="S27" i="26"/>
  <c r="AN17" i="26"/>
  <c r="AH21" i="26"/>
  <c r="AE18" i="26"/>
  <c r="W21" i="26"/>
  <c r="O30" i="26"/>
  <c r="T26" i="26"/>
  <c r="R21" i="26"/>
  <c r="AL17" i="26"/>
  <c r="AD27" i="26"/>
  <c r="V31" i="26"/>
  <c r="N27" i="26"/>
  <c r="AJ26" i="26"/>
  <c r="L22" i="26"/>
  <c r="J25" i="26"/>
  <c r="M12" i="26"/>
  <c r="AK36" i="26"/>
  <c r="AC32" i="26"/>
  <c r="U29" i="26"/>
  <c r="M27" i="26"/>
  <c r="AB30" i="26"/>
  <c r="AI26" i="26"/>
  <c r="AA35" i="26"/>
  <c r="S26" i="26"/>
  <c r="K31" i="26"/>
  <c r="Z25" i="26"/>
  <c r="B45" i="23"/>
  <c r="G39" i="29" l="1"/>
  <c r="G38" i="29"/>
  <c r="G37" i="29"/>
  <c r="G36" i="29"/>
  <c r="G35" i="29"/>
  <c r="G34" i="29"/>
  <c r="G41" i="29"/>
  <c r="G33" i="29"/>
  <c r="G40" i="29"/>
  <c r="G31" i="29"/>
  <c r="G30" i="29"/>
  <c r="G29" i="29"/>
  <c r="G28" i="29"/>
  <c r="G27" i="29"/>
  <c r="G26" i="29"/>
  <c r="G25" i="29"/>
  <c r="G23" i="29"/>
  <c r="G20" i="29"/>
  <c r="G12" i="29"/>
  <c r="G22" i="29"/>
  <c r="G19" i="29"/>
  <c r="G11" i="29"/>
  <c r="G24" i="29"/>
  <c r="G18" i="29"/>
  <c r="G10" i="29"/>
  <c r="G17" i="29"/>
  <c r="G16" i="29"/>
  <c r="G15" i="29"/>
  <c r="G14" i="29"/>
  <c r="G21" i="29"/>
  <c r="G13" i="29"/>
  <c r="K36" i="29"/>
  <c r="K28" i="29"/>
  <c r="K35" i="29"/>
  <c r="K27" i="29"/>
  <c r="K34" i="29"/>
  <c r="K26" i="29"/>
  <c r="K41" i="29"/>
  <c r="K33" i="29"/>
  <c r="K25" i="29"/>
  <c r="K40" i="29"/>
  <c r="K32" i="29"/>
  <c r="K24" i="29"/>
  <c r="K39" i="29"/>
  <c r="K31" i="29"/>
  <c r="K38" i="29"/>
  <c r="K30" i="29"/>
  <c r="K37" i="29"/>
  <c r="K29" i="29"/>
  <c r="S36" i="29"/>
  <c r="S28" i="29"/>
  <c r="S35" i="29"/>
  <c r="S27" i="29"/>
  <c r="S34" i="29"/>
  <c r="S26" i="29"/>
  <c r="S41" i="29"/>
  <c r="S33" i="29"/>
  <c r="S25" i="29"/>
  <c r="S40" i="29"/>
  <c r="S32" i="29"/>
  <c r="S24" i="29"/>
  <c r="S39" i="29"/>
  <c r="S31" i="29"/>
  <c r="S23" i="29"/>
  <c r="S38" i="29"/>
  <c r="S30" i="29"/>
  <c r="S22" i="29"/>
  <c r="S37" i="29"/>
  <c r="S29" i="29"/>
  <c r="AA36" i="29"/>
  <c r="AA28" i="29"/>
  <c r="AA35" i="29"/>
  <c r="AA27" i="29"/>
  <c r="AA34" i="29"/>
  <c r="AA26" i="29"/>
  <c r="AA41" i="29"/>
  <c r="AA33" i="29"/>
  <c r="AA25" i="29"/>
  <c r="AA40" i="29"/>
  <c r="AA32" i="29"/>
  <c r="AA24" i="29"/>
  <c r="AA39" i="29"/>
  <c r="AA31" i="29"/>
  <c r="AA23" i="29"/>
  <c r="AA38" i="29"/>
  <c r="AA30" i="29"/>
  <c r="AA22" i="29"/>
  <c r="AA37" i="29"/>
  <c r="AA29" i="29"/>
  <c r="AI36" i="29"/>
  <c r="AI28" i="29"/>
  <c r="AI35" i="29"/>
  <c r="AI27" i="29"/>
  <c r="AI34" i="29"/>
  <c r="AI26" i="29"/>
  <c r="AI41" i="29"/>
  <c r="AI33" i="29"/>
  <c r="AI25" i="29"/>
  <c r="AI40" i="29"/>
  <c r="AI32" i="29"/>
  <c r="AI24" i="29"/>
  <c r="AI39" i="29"/>
  <c r="AI31" i="29"/>
  <c r="AI23" i="29"/>
  <c r="AI38" i="29"/>
  <c r="AI30" i="29"/>
  <c r="AI22" i="29"/>
  <c r="AI37" i="29"/>
  <c r="AI29" i="29"/>
  <c r="J10" i="29"/>
  <c r="R10" i="29"/>
  <c r="Z10" i="29"/>
  <c r="AH10" i="29"/>
  <c r="I11" i="29"/>
  <c r="Q11" i="29"/>
  <c r="Y11" i="29"/>
  <c r="AG11" i="29"/>
  <c r="H12" i="29"/>
  <c r="P12" i="29"/>
  <c r="X12" i="29"/>
  <c r="AF12" i="29"/>
  <c r="O13" i="29"/>
  <c r="W13" i="29"/>
  <c r="AE13" i="29"/>
  <c r="N14" i="29"/>
  <c r="V14" i="29"/>
  <c r="AD14" i="29"/>
  <c r="AL14" i="29"/>
  <c r="M15" i="29"/>
  <c r="U15" i="29"/>
  <c r="AC15" i="29"/>
  <c r="AK15" i="29"/>
  <c r="K17" i="29"/>
  <c r="S17" i="29"/>
  <c r="AA17" i="29"/>
  <c r="AI17" i="29"/>
  <c r="J18" i="29"/>
  <c r="R18" i="29"/>
  <c r="Z18" i="29"/>
  <c r="AH18" i="29"/>
  <c r="I19" i="29"/>
  <c r="Q19" i="29"/>
  <c r="Y19" i="29"/>
  <c r="AG19" i="29"/>
  <c r="H20" i="29"/>
  <c r="P20" i="29"/>
  <c r="X20" i="29"/>
  <c r="AF20" i="29"/>
  <c r="O21" i="29"/>
  <c r="X21" i="29"/>
  <c r="AG21" i="29"/>
  <c r="I22" i="29"/>
  <c r="R22" i="29"/>
  <c r="AD22" i="29"/>
  <c r="H23" i="29"/>
  <c r="Y23" i="29"/>
  <c r="O24" i="29"/>
  <c r="L35" i="29"/>
  <c r="L27" i="29"/>
  <c r="L34" i="29"/>
  <c r="L26" i="29"/>
  <c r="L41" i="29"/>
  <c r="L33" i="29"/>
  <c r="L25" i="29"/>
  <c r="L40" i="29"/>
  <c r="L32" i="29"/>
  <c r="L24" i="29"/>
  <c r="L39" i="29"/>
  <c r="L31" i="29"/>
  <c r="L23" i="29"/>
  <c r="L38" i="29"/>
  <c r="L30" i="29"/>
  <c r="L37" i="29"/>
  <c r="L29" i="29"/>
  <c r="L36" i="29"/>
  <c r="L28" i="29"/>
  <c r="T35" i="29"/>
  <c r="T27" i="29"/>
  <c r="T34" i="29"/>
  <c r="T26" i="29"/>
  <c r="T41" i="29"/>
  <c r="T33" i="29"/>
  <c r="T25" i="29"/>
  <c r="T40" i="29"/>
  <c r="T32" i="29"/>
  <c r="T24" i="29"/>
  <c r="T39" i="29"/>
  <c r="T31" i="29"/>
  <c r="T23" i="29"/>
  <c r="T38" i="29"/>
  <c r="T30" i="29"/>
  <c r="T37" i="29"/>
  <c r="T29" i="29"/>
  <c r="T36" i="29"/>
  <c r="T28" i="29"/>
  <c r="AB35" i="29"/>
  <c r="AB27" i="29"/>
  <c r="AB34" i="29"/>
  <c r="AB26" i="29"/>
  <c r="AB41" i="29"/>
  <c r="AB33" i="29"/>
  <c r="AB25" i="29"/>
  <c r="AB40" i="29"/>
  <c r="AB32" i="29"/>
  <c r="AB24" i="29"/>
  <c r="AB39" i="29"/>
  <c r="AB31" i="29"/>
  <c r="AB23" i="29"/>
  <c r="AB38" i="29"/>
  <c r="AB30" i="29"/>
  <c r="AB37" i="29"/>
  <c r="AB29" i="29"/>
  <c r="AB36" i="29"/>
  <c r="AB28" i="29"/>
  <c r="AJ35" i="29"/>
  <c r="AJ27" i="29"/>
  <c r="AJ34" i="29"/>
  <c r="AJ26" i="29"/>
  <c r="AJ41" i="29"/>
  <c r="AJ33" i="29"/>
  <c r="AJ25" i="29"/>
  <c r="AJ40" i="29"/>
  <c r="AJ32" i="29"/>
  <c r="AJ24" i="29"/>
  <c r="AJ39" i="29"/>
  <c r="AJ31" i="29"/>
  <c r="AJ23" i="29"/>
  <c r="AJ38" i="29"/>
  <c r="AJ30" i="29"/>
  <c r="AJ37" i="29"/>
  <c r="AJ29" i="29"/>
  <c r="AJ36" i="29"/>
  <c r="AJ28" i="29"/>
  <c r="K10" i="29"/>
  <c r="S10" i="29"/>
  <c r="AA10" i="29"/>
  <c r="AI10" i="29"/>
  <c r="J11" i="29"/>
  <c r="R11" i="29"/>
  <c r="Z11" i="29"/>
  <c r="AH11" i="29"/>
  <c r="I12" i="29"/>
  <c r="Q12" i="29"/>
  <c r="Y12" i="29"/>
  <c r="AG12" i="29"/>
  <c r="H13" i="29"/>
  <c r="P13" i="29"/>
  <c r="X13" i="29"/>
  <c r="AF13" i="29"/>
  <c r="O14" i="29"/>
  <c r="W14" i="29"/>
  <c r="AE14" i="29"/>
  <c r="N15" i="29"/>
  <c r="V15" i="29"/>
  <c r="AD15" i="29"/>
  <c r="AL15" i="29"/>
  <c r="L17" i="29"/>
  <c r="T17" i="29"/>
  <c r="AB17" i="29"/>
  <c r="AJ17" i="29"/>
  <c r="K18" i="29"/>
  <c r="S18" i="29"/>
  <c r="AA18" i="29"/>
  <c r="AI18" i="29"/>
  <c r="J19" i="29"/>
  <c r="R19" i="29"/>
  <c r="Z19" i="29"/>
  <c r="AH19" i="29"/>
  <c r="I20" i="29"/>
  <c r="Q20" i="29"/>
  <c r="Y20" i="29"/>
  <c r="AG20" i="29"/>
  <c r="H21" i="29"/>
  <c r="P21" i="29"/>
  <c r="Y21" i="29"/>
  <c r="AH21" i="29"/>
  <c r="J22" i="29"/>
  <c r="T22" i="29"/>
  <c r="AE22" i="29"/>
  <c r="I23" i="29"/>
  <c r="AE23" i="29"/>
  <c r="V24" i="29"/>
  <c r="M34" i="29"/>
  <c r="M26" i="29"/>
  <c r="M41" i="29"/>
  <c r="M33" i="29"/>
  <c r="M25" i="29"/>
  <c r="M40" i="29"/>
  <c r="M32" i="29"/>
  <c r="M24" i="29"/>
  <c r="M39" i="29"/>
  <c r="M31" i="29"/>
  <c r="M23" i="29"/>
  <c r="M38" i="29"/>
  <c r="M30" i="29"/>
  <c r="M22" i="29"/>
  <c r="M37" i="29"/>
  <c r="M29" i="29"/>
  <c r="M36" i="29"/>
  <c r="M28" i="29"/>
  <c r="M35" i="29"/>
  <c r="M27" i="29"/>
  <c r="U34" i="29"/>
  <c r="U26" i="29"/>
  <c r="U41" i="29"/>
  <c r="U33" i="29"/>
  <c r="U25" i="29"/>
  <c r="U40" i="29"/>
  <c r="U32" i="29"/>
  <c r="U24" i="29"/>
  <c r="U39" i="29"/>
  <c r="U31" i="29"/>
  <c r="U23" i="29"/>
  <c r="U38" i="29"/>
  <c r="U30" i="29"/>
  <c r="U22" i="29"/>
  <c r="U37" i="29"/>
  <c r="U29" i="29"/>
  <c r="U36" i="29"/>
  <c r="U28" i="29"/>
  <c r="U35" i="29"/>
  <c r="U27" i="29"/>
  <c r="AC34" i="29"/>
  <c r="AC26" i="29"/>
  <c r="AC41" i="29"/>
  <c r="AC33" i="29"/>
  <c r="AC25" i="29"/>
  <c r="AC40" i="29"/>
  <c r="AC32" i="29"/>
  <c r="AC24" i="29"/>
  <c r="AC39" i="29"/>
  <c r="AC31" i="29"/>
  <c r="AC23" i="29"/>
  <c r="AC38" i="29"/>
  <c r="AC30" i="29"/>
  <c r="AC22" i="29"/>
  <c r="AC37" i="29"/>
  <c r="AC29" i="29"/>
  <c r="AC36" i="29"/>
  <c r="AC28" i="29"/>
  <c r="AC35" i="29"/>
  <c r="AC27" i="29"/>
  <c r="AK34" i="29"/>
  <c r="AK26" i="29"/>
  <c r="AK41" i="29"/>
  <c r="AK33" i="29"/>
  <c r="AK25" i="29"/>
  <c r="AK40" i="29"/>
  <c r="AK32" i="29"/>
  <c r="AK24" i="29"/>
  <c r="AK39" i="29"/>
  <c r="AK31" i="29"/>
  <c r="AK23" i="29"/>
  <c r="AK38" i="29"/>
  <c r="AK30" i="29"/>
  <c r="AK22" i="29"/>
  <c r="AK37" i="29"/>
  <c r="AK29" i="29"/>
  <c r="AK36" i="29"/>
  <c r="AK28" i="29"/>
  <c r="AK35" i="29"/>
  <c r="AK27" i="29"/>
  <c r="L10" i="29"/>
  <c r="T10" i="29"/>
  <c r="AB10" i="29"/>
  <c r="AJ10" i="29"/>
  <c r="K11" i="29"/>
  <c r="S11" i="29"/>
  <c r="AA11" i="29"/>
  <c r="AI11" i="29"/>
  <c r="J12" i="29"/>
  <c r="R12" i="29"/>
  <c r="Z12" i="29"/>
  <c r="AH12" i="29"/>
  <c r="I13" i="29"/>
  <c r="Q13" i="29"/>
  <c r="Y13" i="29"/>
  <c r="AG13" i="29"/>
  <c r="H14" i="29"/>
  <c r="P14" i="29"/>
  <c r="X14" i="29"/>
  <c r="AF14" i="29"/>
  <c r="O15" i="29"/>
  <c r="W15" i="29"/>
  <c r="AE15" i="29"/>
  <c r="V16" i="29"/>
  <c r="M17" i="29"/>
  <c r="U17" i="29"/>
  <c r="AC17" i="29"/>
  <c r="AK17" i="29"/>
  <c r="L18" i="29"/>
  <c r="T18" i="29"/>
  <c r="AB18" i="29"/>
  <c r="AJ18" i="29"/>
  <c r="K19" i="29"/>
  <c r="S19" i="29"/>
  <c r="AA19" i="29"/>
  <c r="AI19" i="29"/>
  <c r="J20" i="29"/>
  <c r="R20" i="29"/>
  <c r="Z20" i="29"/>
  <c r="AH20" i="29"/>
  <c r="I21" i="29"/>
  <c r="Q21" i="29"/>
  <c r="Z21" i="29"/>
  <c r="AI21" i="29"/>
  <c r="K22" i="29"/>
  <c r="AF22" i="29"/>
  <c r="K23" i="29"/>
  <c r="AF23" i="29"/>
  <c r="W24" i="29"/>
  <c r="N41" i="29"/>
  <c r="N33" i="29"/>
  <c r="N40" i="29"/>
  <c r="N32" i="29"/>
  <c r="N39" i="29"/>
  <c r="N31" i="29"/>
  <c r="N23" i="29"/>
  <c r="N38" i="29"/>
  <c r="N30" i="29"/>
  <c r="N37" i="29"/>
  <c r="N29" i="29"/>
  <c r="N36" i="29"/>
  <c r="N28" i="29"/>
  <c r="N35" i="29"/>
  <c r="N27" i="29"/>
  <c r="N34" i="29"/>
  <c r="N26" i="29"/>
  <c r="V41" i="29"/>
  <c r="V33" i="29"/>
  <c r="V25" i="29"/>
  <c r="V40" i="29"/>
  <c r="V32" i="29"/>
  <c r="V39" i="29"/>
  <c r="V31" i="29"/>
  <c r="V23" i="29"/>
  <c r="V38" i="29"/>
  <c r="V30" i="29"/>
  <c r="V37" i="29"/>
  <c r="V29" i="29"/>
  <c r="V21" i="29"/>
  <c r="V36" i="29"/>
  <c r="V28" i="29"/>
  <c r="V35" i="29"/>
  <c r="V27" i="29"/>
  <c r="V34" i="29"/>
  <c r="V26" i="29"/>
  <c r="AD41" i="29"/>
  <c r="AD33" i="29"/>
  <c r="AD25" i="29"/>
  <c r="AD40" i="29"/>
  <c r="AD32" i="29"/>
  <c r="AD39" i="29"/>
  <c r="AD31" i="29"/>
  <c r="AD23" i="29"/>
  <c r="AD38" i="29"/>
  <c r="AD30" i="29"/>
  <c r="AD37" i="29"/>
  <c r="AD29" i="29"/>
  <c r="AD21" i="29"/>
  <c r="AD36" i="29"/>
  <c r="AD28" i="29"/>
  <c r="AD35" i="29"/>
  <c r="AD27" i="29"/>
  <c r="AD34" i="29"/>
  <c r="AD26" i="29"/>
  <c r="AL41" i="29"/>
  <c r="AL33" i="29"/>
  <c r="AL25" i="29"/>
  <c r="AL40" i="29"/>
  <c r="AL32" i="29"/>
  <c r="AL39" i="29"/>
  <c r="AL31" i="29"/>
  <c r="AL23" i="29"/>
  <c r="AL38" i="29"/>
  <c r="AL30" i="29"/>
  <c r="AL37" i="29"/>
  <c r="AL29" i="29"/>
  <c r="AL21" i="29"/>
  <c r="AL36" i="29"/>
  <c r="AL28" i="29"/>
  <c r="AL35" i="29"/>
  <c r="AL27" i="29"/>
  <c r="AL34" i="29"/>
  <c r="AL26" i="29"/>
  <c r="M10" i="29"/>
  <c r="U10" i="29"/>
  <c r="AC10" i="29"/>
  <c r="AK10" i="29"/>
  <c r="L11" i="29"/>
  <c r="T11" i="29"/>
  <c r="AB11" i="29"/>
  <c r="AJ11" i="29"/>
  <c r="K12" i="29"/>
  <c r="S12" i="29"/>
  <c r="AA12" i="29"/>
  <c r="AI12" i="29"/>
  <c r="J13" i="29"/>
  <c r="R13" i="29"/>
  <c r="Z13" i="29"/>
  <c r="AH13" i="29"/>
  <c r="I14" i="29"/>
  <c r="Q14" i="29"/>
  <c r="Y14" i="29"/>
  <c r="AG14" i="29"/>
  <c r="H15" i="29"/>
  <c r="P15" i="29"/>
  <c r="X15" i="29"/>
  <c r="AF15" i="29"/>
  <c r="O16" i="29"/>
  <c r="W16" i="29"/>
  <c r="N17" i="29"/>
  <c r="V17" i="29"/>
  <c r="AD17" i="29"/>
  <c r="AL17" i="29"/>
  <c r="M18" i="29"/>
  <c r="U18" i="29"/>
  <c r="AC18" i="29"/>
  <c r="AK18" i="29"/>
  <c r="L19" i="29"/>
  <c r="T19" i="29"/>
  <c r="AB19" i="29"/>
  <c r="AJ19" i="29"/>
  <c r="K20" i="29"/>
  <c r="S20" i="29"/>
  <c r="AA20" i="29"/>
  <c r="AI20" i="29"/>
  <c r="J21" i="29"/>
  <c r="R21" i="29"/>
  <c r="AA21" i="29"/>
  <c r="AJ21" i="29"/>
  <c r="L22" i="29"/>
  <c r="AG22" i="29"/>
  <c r="AG23" i="29"/>
  <c r="AD24" i="29"/>
  <c r="O40" i="29"/>
  <c r="O32" i="29"/>
  <c r="O39" i="29"/>
  <c r="O31" i="29"/>
  <c r="O38" i="29"/>
  <c r="O30" i="29"/>
  <c r="O37" i="29"/>
  <c r="O29" i="29"/>
  <c r="O36" i="29"/>
  <c r="O28" i="29"/>
  <c r="O35" i="29"/>
  <c r="O27" i="29"/>
  <c r="O34" i="29"/>
  <c r="O26" i="29"/>
  <c r="O41" i="29"/>
  <c r="O33" i="29"/>
  <c r="O25" i="29"/>
  <c r="W40" i="29"/>
  <c r="W32" i="29"/>
  <c r="W39" i="29"/>
  <c r="W31" i="29"/>
  <c r="W38" i="29"/>
  <c r="W30" i="29"/>
  <c r="W37" i="29"/>
  <c r="W29" i="29"/>
  <c r="W36" i="29"/>
  <c r="W28" i="29"/>
  <c r="W35" i="29"/>
  <c r="W27" i="29"/>
  <c r="W34" i="29"/>
  <c r="W26" i="29"/>
  <c r="W41" i="29"/>
  <c r="W33" i="29"/>
  <c r="W25" i="29"/>
  <c r="AE40" i="29"/>
  <c r="AE32" i="29"/>
  <c r="AE39" i="29"/>
  <c r="AE31" i="29"/>
  <c r="AE38" i="29"/>
  <c r="AE30" i="29"/>
  <c r="AE37" i="29"/>
  <c r="AE29" i="29"/>
  <c r="AE36" i="29"/>
  <c r="AE28" i="29"/>
  <c r="AE35" i="29"/>
  <c r="AE27" i="29"/>
  <c r="AE34" i="29"/>
  <c r="AE26" i="29"/>
  <c r="AE41" i="29"/>
  <c r="AE33" i="29"/>
  <c r="AE25" i="29"/>
  <c r="N10" i="29"/>
  <c r="V10" i="29"/>
  <c r="AD10" i="29"/>
  <c r="AL10" i="29"/>
  <c r="M11" i="29"/>
  <c r="U11" i="29"/>
  <c r="AC11" i="29"/>
  <c r="AK11" i="29"/>
  <c r="L12" i="29"/>
  <c r="T12" i="29"/>
  <c r="AB12" i="29"/>
  <c r="AJ12" i="29"/>
  <c r="K13" i="29"/>
  <c r="S13" i="29"/>
  <c r="AA13" i="29"/>
  <c r="AI13" i="29"/>
  <c r="J14" i="29"/>
  <c r="R14" i="29"/>
  <c r="Z14" i="29"/>
  <c r="AH14" i="29"/>
  <c r="I15" i="29"/>
  <c r="Q15" i="29"/>
  <c r="Y15" i="29"/>
  <c r="AG15" i="29"/>
  <c r="P16" i="29"/>
  <c r="X16" i="29"/>
  <c r="O17" i="29"/>
  <c r="W17" i="29"/>
  <c r="AE17" i="29"/>
  <c r="N18" i="29"/>
  <c r="V18" i="29"/>
  <c r="AD18" i="29"/>
  <c r="AL18" i="29"/>
  <c r="M19" i="29"/>
  <c r="U19" i="29"/>
  <c r="AC19" i="29"/>
  <c r="AK19" i="29"/>
  <c r="L20" i="29"/>
  <c r="T20" i="29"/>
  <c r="AB20" i="29"/>
  <c r="AJ20" i="29"/>
  <c r="K21" i="29"/>
  <c r="S21" i="29"/>
  <c r="AB21" i="29"/>
  <c r="AK21" i="29"/>
  <c r="N22" i="29"/>
  <c r="AH22" i="29"/>
  <c r="AE24" i="29"/>
  <c r="H39" i="29"/>
  <c r="H31" i="29"/>
  <c r="H38" i="29"/>
  <c r="H30" i="29"/>
  <c r="H37" i="29"/>
  <c r="H29" i="29"/>
  <c r="H36" i="29"/>
  <c r="H28" i="29"/>
  <c r="H35" i="29"/>
  <c r="H27" i="29"/>
  <c r="H34" i="29"/>
  <c r="H26" i="29"/>
  <c r="H41" i="29"/>
  <c r="H33" i="29"/>
  <c r="H25" i="29"/>
  <c r="H40" i="29"/>
  <c r="H32" i="29"/>
  <c r="P39" i="29"/>
  <c r="P31" i="29"/>
  <c r="P38" i="29"/>
  <c r="P30" i="29"/>
  <c r="P37" i="29"/>
  <c r="P29" i="29"/>
  <c r="P36" i="29"/>
  <c r="P28" i="29"/>
  <c r="P35" i="29"/>
  <c r="P27" i="29"/>
  <c r="P34" i="29"/>
  <c r="P26" i="29"/>
  <c r="P41" i="29"/>
  <c r="P33" i="29"/>
  <c r="P25" i="29"/>
  <c r="P40" i="29"/>
  <c r="P32" i="29"/>
  <c r="P24" i="29"/>
  <c r="X39" i="29"/>
  <c r="X31" i="29"/>
  <c r="X38" i="29"/>
  <c r="X30" i="29"/>
  <c r="X37" i="29"/>
  <c r="X29" i="29"/>
  <c r="X36" i="29"/>
  <c r="X28" i="29"/>
  <c r="X35" i="29"/>
  <c r="X27" i="29"/>
  <c r="X34" i="29"/>
  <c r="X26" i="29"/>
  <c r="X41" i="29"/>
  <c r="X33" i="29"/>
  <c r="X25" i="29"/>
  <c r="X40" i="29"/>
  <c r="X32" i="29"/>
  <c r="X24" i="29"/>
  <c r="AF39" i="29"/>
  <c r="AF31" i="29"/>
  <c r="AF38" i="29"/>
  <c r="AF30" i="29"/>
  <c r="AF37" i="29"/>
  <c r="AF29" i="29"/>
  <c r="AF36" i="29"/>
  <c r="AF28" i="29"/>
  <c r="AF35" i="29"/>
  <c r="AF27" i="29"/>
  <c r="AF34" i="29"/>
  <c r="AF26" i="29"/>
  <c r="AF41" i="29"/>
  <c r="AF33" i="29"/>
  <c r="AF25" i="29"/>
  <c r="AF40" i="29"/>
  <c r="AF32" i="29"/>
  <c r="AF24" i="29"/>
  <c r="O10" i="29"/>
  <c r="W10" i="29"/>
  <c r="AE10" i="29"/>
  <c r="N11" i="29"/>
  <c r="V11" i="29"/>
  <c r="AD11" i="29"/>
  <c r="AL11" i="29"/>
  <c r="M12" i="29"/>
  <c r="U12" i="29"/>
  <c r="AC12" i="29"/>
  <c r="AK12" i="29"/>
  <c r="L13" i="29"/>
  <c r="T13" i="29"/>
  <c r="AB13" i="29"/>
  <c r="AJ13" i="29"/>
  <c r="K14" i="29"/>
  <c r="S14" i="29"/>
  <c r="AA14" i="29"/>
  <c r="AI14" i="29"/>
  <c r="J15" i="29"/>
  <c r="R15" i="29"/>
  <c r="Z15" i="29"/>
  <c r="AH15" i="29"/>
  <c r="Q16" i="29"/>
  <c r="Y16" i="29"/>
  <c r="H17" i="29"/>
  <c r="P17" i="29"/>
  <c r="X17" i="29"/>
  <c r="AF17" i="29"/>
  <c r="O18" i="29"/>
  <c r="W18" i="29"/>
  <c r="AE18" i="29"/>
  <c r="N19" i="29"/>
  <c r="V19" i="29"/>
  <c r="AD19" i="29"/>
  <c r="AL19" i="29"/>
  <c r="M20" i="29"/>
  <c r="U20" i="29"/>
  <c r="AC20" i="29"/>
  <c r="AK20" i="29"/>
  <c r="L21" i="29"/>
  <c r="T21" i="29"/>
  <c r="AC21" i="29"/>
  <c r="O22" i="29"/>
  <c r="AJ22" i="29"/>
  <c r="AL24" i="29"/>
  <c r="I38" i="29"/>
  <c r="I30" i="29"/>
  <c r="I37" i="29"/>
  <c r="I29" i="29"/>
  <c r="I36" i="29"/>
  <c r="I28" i="29"/>
  <c r="I35" i="29"/>
  <c r="I27" i="29"/>
  <c r="I34" i="29"/>
  <c r="I26" i="29"/>
  <c r="I41" i="29"/>
  <c r="I33" i="29"/>
  <c r="I25" i="29"/>
  <c r="I40" i="29"/>
  <c r="I32" i="29"/>
  <c r="I24" i="29"/>
  <c r="I39" i="29"/>
  <c r="I31" i="29"/>
  <c r="Q38" i="29"/>
  <c r="Q30" i="29"/>
  <c r="Q37" i="29"/>
  <c r="Q29" i="29"/>
  <c r="Q36" i="29"/>
  <c r="Q28" i="29"/>
  <c r="Q35" i="29"/>
  <c r="Q27" i="29"/>
  <c r="Q34" i="29"/>
  <c r="Q26" i="29"/>
  <c r="Q41" i="29"/>
  <c r="Q33" i="29"/>
  <c r="Q25" i="29"/>
  <c r="Q40" i="29"/>
  <c r="Q32" i="29"/>
  <c r="Q24" i="29"/>
  <c r="Q39" i="29"/>
  <c r="Q31" i="29"/>
  <c r="Y38" i="29"/>
  <c r="Y30" i="29"/>
  <c r="Y37" i="29"/>
  <c r="Y29" i="29"/>
  <c r="Y36" i="29"/>
  <c r="Y28" i="29"/>
  <c r="Y35" i="29"/>
  <c r="Y27" i="29"/>
  <c r="Y34" i="29"/>
  <c r="Y26" i="29"/>
  <c r="Y41" i="29"/>
  <c r="Y33" i="29"/>
  <c r="Y25" i="29"/>
  <c r="Y40" i="29"/>
  <c r="Y32" i="29"/>
  <c r="Y24" i="29"/>
  <c r="Y39" i="29"/>
  <c r="Y31" i="29"/>
  <c r="AG38" i="29"/>
  <c r="AG30" i="29"/>
  <c r="AG37" i="29"/>
  <c r="AG29" i="29"/>
  <c r="AG36" i="29"/>
  <c r="AG28" i="29"/>
  <c r="AG35" i="29"/>
  <c r="AG27" i="29"/>
  <c r="AG34" i="29"/>
  <c r="AG26" i="29"/>
  <c r="AG41" i="29"/>
  <c r="AG33" i="29"/>
  <c r="AG25" i="29"/>
  <c r="AG40" i="29"/>
  <c r="AG32" i="29"/>
  <c r="AG24" i="29"/>
  <c r="AG39" i="29"/>
  <c r="AG31" i="29"/>
  <c r="H10" i="29"/>
  <c r="P10" i="29"/>
  <c r="X10" i="29"/>
  <c r="AF10" i="29"/>
  <c r="O11" i="29"/>
  <c r="W11" i="29"/>
  <c r="AE11" i="29"/>
  <c r="N12" i="29"/>
  <c r="V12" i="29"/>
  <c r="AD12" i="29"/>
  <c r="AL12" i="29"/>
  <c r="M13" i="29"/>
  <c r="U13" i="29"/>
  <c r="AC13" i="29"/>
  <c r="AK13" i="29"/>
  <c r="L14" i="29"/>
  <c r="T14" i="29"/>
  <c r="AB14" i="29"/>
  <c r="AJ14" i="29"/>
  <c r="K15" i="29"/>
  <c r="S15" i="29"/>
  <c r="AA15" i="29"/>
  <c r="AI15" i="29"/>
  <c r="Z16" i="29"/>
  <c r="I17" i="29"/>
  <c r="Q17" i="29"/>
  <c r="Y17" i="29"/>
  <c r="AG17" i="29"/>
  <c r="H18" i="29"/>
  <c r="P18" i="29"/>
  <c r="X18" i="29"/>
  <c r="AF18" i="29"/>
  <c r="O19" i="29"/>
  <c r="W19" i="29"/>
  <c r="AE19" i="29"/>
  <c r="N20" i="29"/>
  <c r="V20" i="29"/>
  <c r="AD20" i="29"/>
  <c r="AL20" i="29"/>
  <c r="M21" i="29"/>
  <c r="U21" i="29"/>
  <c r="AE21" i="29"/>
  <c r="P22" i="29"/>
  <c r="AL22" i="29"/>
  <c r="W23" i="29"/>
  <c r="H24" i="29"/>
  <c r="J37" i="29"/>
  <c r="J29" i="29"/>
  <c r="J36" i="29"/>
  <c r="J28" i="29"/>
  <c r="J35" i="29"/>
  <c r="J27" i="29"/>
  <c r="J34" i="29"/>
  <c r="J26" i="29"/>
  <c r="J41" i="29"/>
  <c r="J33" i="29"/>
  <c r="J25" i="29"/>
  <c r="J40" i="29"/>
  <c r="J32" i="29"/>
  <c r="J24" i="29"/>
  <c r="J39" i="29"/>
  <c r="J31" i="29"/>
  <c r="J23" i="29"/>
  <c r="J38" i="29"/>
  <c r="J30" i="29"/>
  <c r="R37" i="29"/>
  <c r="R29" i="29"/>
  <c r="R36" i="29"/>
  <c r="R28" i="29"/>
  <c r="R35" i="29"/>
  <c r="R27" i="29"/>
  <c r="R34" i="29"/>
  <c r="R26" i="29"/>
  <c r="R41" i="29"/>
  <c r="R33" i="29"/>
  <c r="R25" i="29"/>
  <c r="R40" i="29"/>
  <c r="R32" i="29"/>
  <c r="R24" i="29"/>
  <c r="R39" i="29"/>
  <c r="R31" i="29"/>
  <c r="R23" i="29"/>
  <c r="R38" i="29"/>
  <c r="R30" i="29"/>
  <c r="Z37" i="29"/>
  <c r="Z29" i="29"/>
  <c r="Z36" i="29"/>
  <c r="Z28" i="29"/>
  <c r="Z35" i="29"/>
  <c r="Z27" i="29"/>
  <c r="Z34" i="29"/>
  <c r="Z26" i="29"/>
  <c r="Z41" i="29"/>
  <c r="Z33" i="29"/>
  <c r="Z25" i="29"/>
  <c r="Z40" i="29"/>
  <c r="Z32" i="29"/>
  <c r="Z24" i="29"/>
  <c r="Z39" i="29"/>
  <c r="Z31" i="29"/>
  <c r="Z23" i="29"/>
  <c r="Z38" i="29"/>
  <c r="Z30" i="29"/>
  <c r="AH37" i="29"/>
  <c r="AH29" i="29"/>
  <c r="AH36" i="29"/>
  <c r="AH28" i="29"/>
  <c r="AH35" i="29"/>
  <c r="AH27" i="29"/>
  <c r="AH34" i="29"/>
  <c r="AH26" i="29"/>
  <c r="AH41" i="29"/>
  <c r="AH33" i="29"/>
  <c r="AH25" i="29"/>
  <c r="AH40" i="29"/>
  <c r="AH32" i="29"/>
  <c r="AH24" i="29"/>
  <c r="AH39" i="29"/>
  <c r="AH31" i="29"/>
  <c r="AH23" i="29"/>
  <c r="AH38" i="29"/>
  <c r="AH30" i="29"/>
  <c r="I10" i="29"/>
  <c r="Q10" i="29"/>
  <c r="Y10" i="29"/>
  <c r="AG10" i="29"/>
  <c r="H11" i="29"/>
  <c r="P11" i="29"/>
  <c r="X11" i="29"/>
  <c r="AF11" i="29"/>
  <c r="O12" i="29"/>
  <c r="W12" i="29"/>
  <c r="AE12" i="29"/>
  <c r="N13" i="29"/>
  <c r="V13" i="29"/>
  <c r="AD13" i="29"/>
  <c r="AL13" i="29"/>
  <c r="M14" i="29"/>
  <c r="U14" i="29"/>
  <c r="AC14" i="29"/>
  <c r="AK14" i="29"/>
  <c r="L15" i="29"/>
  <c r="T15" i="29"/>
  <c r="AB15" i="29"/>
  <c r="AJ15" i="29"/>
  <c r="K16" i="29"/>
  <c r="S16" i="29"/>
  <c r="AA16" i="29"/>
  <c r="AI16" i="29"/>
  <c r="J17" i="29"/>
  <c r="R17" i="29"/>
  <c r="Z17" i="29"/>
  <c r="AH17" i="29"/>
  <c r="I18" i="29"/>
  <c r="Q18" i="29"/>
  <c r="Y18" i="29"/>
  <c r="AG18" i="29"/>
  <c r="H19" i="29"/>
  <c r="P19" i="29"/>
  <c r="X19" i="29"/>
  <c r="AF19" i="29"/>
  <c r="O20" i="29"/>
  <c r="W20" i="29"/>
  <c r="AE20" i="29"/>
  <c r="N21" i="29"/>
  <c r="W21" i="29"/>
  <c r="AF21" i="29"/>
  <c r="H22" i="29"/>
  <c r="Q22" i="29"/>
  <c r="AB22" i="29"/>
  <c r="X23" i="29"/>
  <c r="N24" i="29"/>
  <c r="N25" i="29"/>
  <c r="C5" i="28"/>
  <c r="C15" i="28" s="1"/>
  <c r="G41" i="26"/>
  <c r="G40" i="26"/>
  <c r="G39" i="26"/>
  <c r="AH21" i="24"/>
  <c r="AJ40" i="24"/>
  <c r="W10" i="24"/>
  <c r="Y11" i="24"/>
  <c r="Z23" i="24"/>
  <c r="AB40" i="24"/>
  <c r="AA13" i="24"/>
  <c r="R25" i="24"/>
  <c r="T40" i="24"/>
  <c r="Q14" i="24"/>
  <c r="AA28" i="24"/>
  <c r="L40" i="24"/>
  <c r="I15" i="24"/>
  <c r="K32" i="24"/>
  <c r="AI39" i="24"/>
  <c r="K16" i="24"/>
  <c r="R37" i="24"/>
  <c r="AA39" i="24"/>
  <c r="J18" i="24"/>
  <c r="S39" i="24"/>
  <c r="J20" i="24"/>
  <c r="K39" i="24"/>
  <c r="Y10" i="24"/>
  <c r="AD11" i="24"/>
  <c r="AJ13" i="24"/>
  <c r="AE13" i="24"/>
  <c r="S14" i="24"/>
  <c r="Q15" i="24"/>
  <c r="O16" i="24"/>
  <c r="R18" i="24"/>
  <c r="R20" i="24"/>
  <c r="J22" i="24"/>
  <c r="AH23" i="24"/>
  <c r="W25" i="24"/>
  <c r="AG29" i="24"/>
  <c r="W33" i="24"/>
  <c r="AH37" i="24"/>
  <c r="AJ41" i="24"/>
  <c r="AB41" i="24"/>
  <c r="T41" i="24"/>
  <c r="L41" i="24"/>
  <c r="AI40" i="24"/>
  <c r="AA40" i="24"/>
  <c r="S40" i="24"/>
  <c r="K40" i="24"/>
  <c r="AH39" i="24"/>
  <c r="Z39" i="24"/>
  <c r="R39" i="24"/>
  <c r="J39" i="24"/>
  <c r="AK12" i="24"/>
  <c r="AF10" i="24"/>
  <c r="Z10" i="24"/>
  <c r="AK11" i="24"/>
  <c r="I13" i="24"/>
  <c r="AI13" i="24"/>
  <c r="W14" i="24"/>
  <c r="S15" i="24"/>
  <c r="S16" i="24"/>
  <c r="Z18" i="24"/>
  <c r="Z20" i="24"/>
  <c r="R22" i="24"/>
  <c r="J24" i="24"/>
  <c r="AH25" i="24"/>
  <c r="R29" i="24"/>
  <c r="AH33" i="24"/>
  <c r="AI41" i="24"/>
  <c r="AA41" i="24"/>
  <c r="S41" i="24"/>
  <c r="K41" i="24"/>
  <c r="AH40" i="24"/>
  <c r="Z40" i="24"/>
  <c r="R40" i="24"/>
  <c r="J40" i="24"/>
  <c r="AG39" i="24"/>
  <c r="Y39" i="24"/>
  <c r="Q39" i="24"/>
  <c r="I39" i="24"/>
  <c r="AA10" i="24"/>
  <c r="AG10" i="24"/>
  <c r="AL11" i="24"/>
  <c r="M13" i="24"/>
  <c r="AL13" i="24"/>
  <c r="Z14" i="24"/>
  <c r="Y15" i="24"/>
  <c r="W16" i="24"/>
  <c r="AH18" i="24"/>
  <c r="AH20" i="24"/>
  <c r="Z22" i="24"/>
  <c r="R24" i="24"/>
  <c r="S26" i="24"/>
  <c r="AA29" i="24"/>
  <c r="J35" i="24"/>
  <c r="AH41" i="24"/>
  <c r="Z41" i="24"/>
  <c r="R41" i="24"/>
  <c r="J41" i="24"/>
  <c r="AG40" i="24"/>
  <c r="Y40" i="24"/>
  <c r="Q40" i="24"/>
  <c r="I40" i="24"/>
  <c r="AF39" i="24"/>
  <c r="X39" i="24"/>
  <c r="P39" i="24"/>
  <c r="H39" i="24"/>
  <c r="J10" i="24"/>
  <c r="AI10" i="24"/>
  <c r="AG12" i="24"/>
  <c r="N13" i="24"/>
  <c r="AF14" i="24"/>
  <c r="AA14" i="24"/>
  <c r="AG15" i="24"/>
  <c r="AA16" i="24"/>
  <c r="J19" i="24"/>
  <c r="AG21" i="24"/>
  <c r="AH22" i="24"/>
  <c r="Z24" i="24"/>
  <c r="AI26" i="24"/>
  <c r="AH29" i="24"/>
  <c r="O35" i="24"/>
  <c r="G41" i="24"/>
  <c r="AG41" i="24"/>
  <c r="Y41" i="24"/>
  <c r="Q41" i="24"/>
  <c r="AF40" i="24"/>
  <c r="X40" i="24"/>
  <c r="P40" i="24"/>
  <c r="H40" i="24"/>
  <c r="AE39" i="24"/>
  <c r="W39" i="24"/>
  <c r="O39" i="24"/>
  <c r="AK41" i="24"/>
  <c r="M41" i="24"/>
  <c r="K10" i="24"/>
  <c r="AE11" i="24"/>
  <c r="K12" i="24"/>
  <c r="O13" i="24"/>
  <c r="J14" i="24"/>
  <c r="AG14" i="24"/>
  <c r="AI15" i="24"/>
  <c r="AE16" i="24"/>
  <c r="R19" i="24"/>
  <c r="J21" i="24"/>
  <c r="AG23" i="24"/>
  <c r="AH24" i="24"/>
  <c r="O27" i="24"/>
  <c r="S30" i="24"/>
  <c r="Z35" i="24"/>
  <c r="G40" i="24"/>
  <c r="AF41" i="24"/>
  <c r="AE40" i="24"/>
  <c r="W40" i="24"/>
  <c r="O40" i="24"/>
  <c r="AL39" i="24"/>
  <c r="AD39" i="24"/>
  <c r="V39" i="24"/>
  <c r="N39" i="24"/>
  <c r="U41" i="24"/>
  <c r="K11" i="24"/>
  <c r="Y12" i="24"/>
  <c r="S13" i="24"/>
  <c r="M14" i="24"/>
  <c r="AI14" i="24"/>
  <c r="AI16" i="24"/>
  <c r="Z19" i="24"/>
  <c r="R21" i="24"/>
  <c r="J23" i="24"/>
  <c r="AG25" i="24"/>
  <c r="Z27" i="24"/>
  <c r="J31" i="24"/>
  <c r="AE41" i="24"/>
  <c r="W41" i="24"/>
  <c r="O41" i="24"/>
  <c r="AL40" i="24"/>
  <c r="AD40" i="24"/>
  <c r="V40" i="24"/>
  <c r="N40" i="24"/>
  <c r="AK39" i="24"/>
  <c r="AC39" i="24"/>
  <c r="U39" i="24"/>
  <c r="M39" i="24"/>
  <c r="AC41" i="24"/>
  <c r="S10" i="24"/>
  <c r="Z12" i="24"/>
  <c r="O14" i="24"/>
  <c r="AJ15" i="24"/>
  <c r="AH19" i="24"/>
  <c r="Z21" i="24"/>
  <c r="Z31" i="24"/>
  <c r="AA36" i="24"/>
  <c r="AK40" i="24"/>
  <c r="AC40" i="24"/>
  <c r="U40" i="24"/>
  <c r="M40" i="24"/>
  <c r="G36" i="24"/>
  <c r="G35" i="24"/>
  <c r="G23" i="24"/>
  <c r="G21" i="24"/>
  <c r="G19" i="24"/>
  <c r="G26" i="24"/>
  <c r="G25" i="24"/>
  <c r="G28" i="24"/>
  <c r="G27" i="24"/>
  <c r="G32" i="24"/>
  <c r="G31" i="24"/>
  <c r="G24" i="24"/>
  <c r="G22" i="24"/>
  <c r="G20" i="24"/>
  <c r="G18" i="24"/>
  <c r="G34" i="24"/>
  <c r="G33" i="24"/>
  <c r="G37" i="24"/>
  <c r="G38" i="24"/>
  <c r="G10" i="24"/>
  <c r="G16" i="24"/>
  <c r="G14" i="24"/>
  <c r="G13" i="24"/>
  <c r="G30" i="24"/>
  <c r="G29" i="24"/>
  <c r="M11" i="24"/>
  <c r="M12" i="24"/>
  <c r="N35" i="24"/>
  <c r="N33" i="24"/>
  <c r="N31" i="24"/>
  <c r="N29" i="24"/>
  <c r="N27" i="24"/>
  <c r="N25" i="24"/>
  <c r="N28" i="24"/>
  <c r="N24" i="24"/>
  <c r="N18" i="24"/>
  <c r="N30" i="24"/>
  <c r="N22" i="24"/>
  <c r="N20" i="24"/>
  <c r="N32" i="24"/>
  <c r="N36" i="24"/>
  <c r="N38" i="24"/>
  <c r="V35" i="24"/>
  <c r="V33" i="24"/>
  <c r="V31" i="24"/>
  <c r="V29" i="24"/>
  <c r="V27" i="24"/>
  <c r="V25" i="24"/>
  <c r="V30" i="24"/>
  <c r="V34" i="24"/>
  <c r="V36" i="24"/>
  <c r="V23" i="24"/>
  <c r="V21" i="24"/>
  <c r="V19" i="24"/>
  <c r="V38" i="24"/>
  <c r="V26" i="24"/>
  <c r="AD35" i="24"/>
  <c r="AD33" i="24"/>
  <c r="AD31" i="24"/>
  <c r="AD29" i="24"/>
  <c r="AD27" i="24"/>
  <c r="AD25" i="24"/>
  <c r="AD36" i="24"/>
  <c r="AD26" i="24"/>
  <c r="AD24" i="24"/>
  <c r="AD18" i="24"/>
  <c r="AD22" i="24"/>
  <c r="AD20" i="24"/>
  <c r="AD28" i="24"/>
  <c r="AD32" i="24"/>
  <c r="AD34" i="24"/>
  <c r="AL38" i="24"/>
  <c r="AL35" i="24"/>
  <c r="AL33" i="24"/>
  <c r="AL31" i="24"/>
  <c r="AL29" i="24"/>
  <c r="AL27" i="24"/>
  <c r="AL25" i="24"/>
  <c r="AL26" i="24"/>
  <c r="AL30" i="24"/>
  <c r="AL23" i="24"/>
  <c r="AL32" i="24"/>
  <c r="AL21" i="24"/>
  <c r="AL19" i="24"/>
  <c r="AL34" i="24"/>
  <c r="M10" i="24"/>
  <c r="N11" i="24"/>
  <c r="AA11" i="24"/>
  <c r="O12" i="24"/>
  <c r="AA12" i="24"/>
  <c r="AC13" i="24"/>
  <c r="AC14" i="24"/>
  <c r="AL15" i="24"/>
  <c r="AD15" i="24"/>
  <c r="V15" i="24"/>
  <c r="N15" i="24"/>
  <c r="AH15" i="24"/>
  <c r="Z15" i="24"/>
  <c r="R15" i="24"/>
  <c r="J15" i="24"/>
  <c r="AF15" i="24"/>
  <c r="X15" i="24"/>
  <c r="P15" i="24"/>
  <c r="H15" i="24"/>
  <c r="U15" i="24"/>
  <c r="AK15" i="24"/>
  <c r="I17" i="24"/>
  <c r="Y17" i="24"/>
  <c r="AK24" i="24"/>
  <c r="AL24" i="24"/>
  <c r="V32" i="24"/>
  <c r="O26" i="24"/>
  <c r="O25" i="24"/>
  <c r="O30" i="24"/>
  <c r="O29" i="24"/>
  <c r="O24" i="24"/>
  <c r="O22" i="24"/>
  <c r="O20" i="24"/>
  <c r="O18" i="24"/>
  <c r="O32" i="24"/>
  <c r="O31" i="24"/>
  <c r="O34" i="24"/>
  <c r="O33" i="24"/>
  <c r="O38" i="24"/>
  <c r="O37" i="24"/>
  <c r="O23" i="24"/>
  <c r="O21" i="24"/>
  <c r="O19" i="24"/>
  <c r="W32" i="24"/>
  <c r="W31" i="24"/>
  <c r="W36" i="24"/>
  <c r="W35" i="24"/>
  <c r="W23" i="24"/>
  <c r="W21" i="24"/>
  <c r="W19" i="24"/>
  <c r="W38" i="24"/>
  <c r="W37" i="24"/>
  <c r="W28" i="24"/>
  <c r="W27" i="24"/>
  <c r="W24" i="24"/>
  <c r="W22" i="24"/>
  <c r="W20" i="24"/>
  <c r="W18" i="24"/>
  <c r="AE38" i="24"/>
  <c r="AE37" i="24"/>
  <c r="AE26" i="24"/>
  <c r="AE25" i="24"/>
  <c r="AE24" i="24"/>
  <c r="AE22" i="24"/>
  <c r="AE20" i="24"/>
  <c r="AE18" i="24"/>
  <c r="AE28" i="24"/>
  <c r="AE27" i="24"/>
  <c r="AE30" i="24"/>
  <c r="AE29" i="24"/>
  <c r="AE34" i="24"/>
  <c r="AE33" i="24"/>
  <c r="AE23" i="24"/>
  <c r="AE21" i="24"/>
  <c r="AE19" i="24"/>
  <c r="AE36" i="24"/>
  <c r="AE35" i="24"/>
  <c r="O10" i="24"/>
  <c r="AJ11" i="24"/>
  <c r="O11" i="24"/>
  <c r="AC11" i="24"/>
  <c r="AF12" i="24"/>
  <c r="Q12" i="24"/>
  <c r="AC12" i="24"/>
  <c r="AH13" i="24"/>
  <c r="Z13" i="24"/>
  <c r="R13" i="24"/>
  <c r="J13" i="24"/>
  <c r="Q13" i="24"/>
  <c r="AD13" i="24"/>
  <c r="AL14" i="24"/>
  <c r="AD14" i="24"/>
  <c r="V14" i="24"/>
  <c r="N14" i="24"/>
  <c r="R14" i="24"/>
  <c r="AE14" i="24"/>
  <c r="G15" i="24"/>
  <c r="W15" i="24"/>
  <c r="Q16" i="24"/>
  <c r="K17" i="24"/>
  <c r="AA17" i="24"/>
  <c r="AG19" i="24"/>
  <c r="S31" i="24"/>
  <c r="AE32" i="24"/>
  <c r="O36" i="24"/>
  <c r="M17" i="24"/>
  <c r="AC17" i="24"/>
  <c r="AK20" i="24"/>
  <c r="V22" i="24"/>
  <c r="I37" i="24"/>
  <c r="I35" i="24"/>
  <c r="I33" i="24"/>
  <c r="I31" i="24"/>
  <c r="Q37" i="24"/>
  <c r="Q35" i="24"/>
  <c r="Q33" i="24"/>
  <c r="Y37" i="24"/>
  <c r="Y35" i="24"/>
  <c r="Y33" i="24"/>
  <c r="AG37" i="24"/>
  <c r="AG35" i="24"/>
  <c r="AG33" i="24"/>
  <c r="AL10" i="24"/>
  <c r="AD10" i="24"/>
  <c r="V10" i="24"/>
  <c r="N10" i="24"/>
  <c r="R10" i="24"/>
  <c r="AE10" i="24"/>
  <c r="S11" i="24"/>
  <c r="G12" i="24"/>
  <c r="S12" i="24"/>
  <c r="U13" i="24"/>
  <c r="AG13" i="24"/>
  <c r="I14" i="24"/>
  <c r="AH14" i="24"/>
  <c r="K15" i="24"/>
  <c r="AA15" i="24"/>
  <c r="AH16" i="24"/>
  <c r="Z16" i="24"/>
  <c r="R16" i="24"/>
  <c r="J16" i="24"/>
  <c r="AL16" i="24"/>
  <c r="AD16" i="24"/>
  <c r="V16" i="24"/>
  <c r="N16" i="24"/>
  <c r="U16" i="24"/>
  <c r="AK16" i="24"/>
  <c r="O17" i="24"/>
  <c r="N26" i="24"/>
  <c r="V28" i="24"/>
  <c r="W29" i="24"/>
  <c r="W30" i="24"/>
  <c r="AE31" i="24"/>
  <c r="AK33" i="24"/>
  <c r="N34" i="24"/>
  <c r="AL36" i="24"/>
  <c r="AD17" i="24"/>
  <c r="V17" i="24"/>
  <c r="N17" i="24"/>
  <c r="AI17" i="24"/>
  <c r="Z17" i="24"/>
  <c r="R17" i="24"/>
  <c r="J17" i="24"/>
  <c r="AG17" i="24"/>
  <c r="X17" i="24"/>
  <c r="P17" i="24"/>
  <c r="H17" i="24"/>
  <c r="AH11" i="24"/>
  <c r="Z11" i="24"/>
  <c r="R11" i="24"/>
  <c r="J11" i="24"/>
  <c r="AL12" i="24"/>
  <c r="AD12" i="24"/>
  <c r="V12" i="24"/>
  <c r="N12" i="24"/>
  <c r="AE12" i="24"/>
  <c r="AL20" i="24"/>
  <c r="AD21" i="24"/>
  <c r="N23" i="24"/>
  <c r="V13" i="24"/>
  <c r="M15" i="24"/>
  <c r="Q17" i="24"/>
  <c r="AH17" i="24"/>
  <c r="V18" i="24"/>
  <c r="N19" i="24"/>
  <c r="AC10" i="24"/>
  <c r="Q11" i="24"/>
  <c r="R12" i="24"/>
  <c r="G11" i="24"/>
  <c r="U11" i="24"/>
  <c r="AG11" i="24"/>
  <c r="I12" i="24"/>
  <c r="U12" i="24"/>
  <c r="AH12" i="24"/>
  <c r="AC15" i="24"/>
  <c r="AD30" i="24"/>
  <c r="W34" i="24"/>
  <c r="K38" i="24"/>
  <c r="K23" i="24"/>
  <c r="K21" i="24"/>
  <c r="K19" i="24"/>
  <c r="K27" i="24"/>
  <c r="K26" i="24"/>
  <c r="K29" i="24"/>
  <c r="K28" i="24"/>
  <c r="K31" i="24"/>
  <c r="K30" i="24"/>
  <c r="K24" i="24"/>
  <c r="K22" i="24"/>
  <c r="K20" i="24"/>
  <c r="K18" i="24"/>
  <c r="K35" i="24"/>
  <c r="K34" i="24"/>
  <c r="K37" i="24"/>
  <c r="K36" i="24"/>
  <c r="S29" i="24"/>
  <c r="S28" i="24"/>
  <c r="S24" i="24"/>
  <c r="S22" i="24"/>
  <c r="S20" i="24"/>
  <c r="S18" i="24"/>
  <c r="S33" i="24"/>
  <c r="S32" i="24"/>
  <c r="S35" i="24"/>
  <c r="S34" i="24"/>
  <c r="S37" i="24"/>
  <c r="S36" i="24"/>
  <c r="S23" i="24"/>
  <c r="S21" i="24"/>
  <c r="S19" i="24"/>
  <c r="S38" i="24"/>
  <c r="S25" i="24"/>
  <c r="AA35" i="24"/>
  <c r="AA34" i="24"/>
  <c r="AA23" i="24"/>
  <c r="AA21" i="24"/>
  <c r="AA19" i="24"/>
  <c r="AA38" i="24"/>
  <c r="AA25" i="24"/>
  <c r="AA27" i="24"/>
  <c r="AA26" i="24"/>
  <c r="AA24" i="24"/>
  <c r="AA22" i="24"/>
  <c r="AA20" i="24"/>
  <c r="AA18" i="24"/>
  <c r="AA31" i="24"/>
  <c r="AA30" i="24"/>
  <c r="AA33" i="24"/>
  <c r="AA32" i="24"/>
  <c r="AI38" i="24"/>
  <c r="AI25" i="24"/>
  <c r="AI24" i="24"/>
  <c r="AI22" i="24"/>
  <c r="AI20" i="24"/>
  <c r="AI18" i="24"/>
  <c r="AI29" i="24"/>
  <c r="AI28" i="24"/>
  <c r="AI31" i="24"/>
  <c r="AI30" i="24"/>
  <c r="AI33" i="24"/>
  <c r="AI32" i="24"/>
  <c r="AI23" i="24"/>
  <c r="AI21" i="24"/>
  <c r="AI19" i="24"/>
  <c r="AI37" i="24"/>
  <c r="AI36" i="24"/>
  <c r="I10" i="24"/>
  <c r="U10" i="24"/>
  <c r="AH10" i="24"/>
  <c r="I11" i="24"/>
  <c r="V11" i="24"/>
  <c r="AI11" i="24"/>
  <c r="J12" i="24"/>
  <c r="W12" i="24"/>
  <c r="AI12" i="24"/>
  <c r="K13" i="24"/>
  <c r="W13" i="24"/>
  <c r="AK13" i="24"/>
  <c r="K14" i="24"/>
  <c r="Y14" i="24"/>
  <c r="AK14" i="24"/>
  <c r="O15" i="24"/>
  <c r="AE15" i="24"/>
  <c r="I16" i="24"/>
  <c r="Y16" i="24"/>
  <c r="S17" i="24"/>
  <c r="AL17" i="24"/>
  <c r="AK22" i="24"/>
  <c r="AL22" i="24"/>
  <c r="AD23" i="24"/>
  <c r="V24" i="24"/>
  <c r="W26" i="24"/>
  <c r="AI27" i="24"/>
  <c r="AL28" i="24"/>
  <c r="AK32" i="24"/>
  <c r="K33" i="24"/>
  <c r="AI34" i="24"/>
  <c r="U17" i="24"/>
  <c r="G17" i="24"/>
  <c r="W17" i="24"/>
  <c r="AK18" i="24"/>
  <c r="AL18" i="24"/>
  <c r="AD19" i="24"/>
  <c r="V20" i="24"/>
  <c r="N21" i="24"/>
  <c r="AK28" i="24"/>
  <c r="AD38" i="24"/>
  <c r="H37" i="24"/>
  <c r="H35" i="24"/>
  <c r="H33" i="24"/>
  <c r="H31" i="24"/>
  <c r="H29" i="24"/>
  <c r="P37" i="24"/>
  <c r="P35" i="24"/>
  <c r="P33" i="24"/>
  <c r="P31" i="24"/>
  <c r="P29" i="24"/>
  <c r="X37" i="24"/>
  <c r="X35" i="24"/>
  <c r="X33" i="24"/>
  <c r="X31" i="24"/>
  <c r="AF37" i="24"/>
  <c r="AF35" i="24"/>
  <c r="AF33" i="24"/>
  <c r="AF31" i="24"/>
  <c r="L10" i="24"/>
  <c r="T10" i="24"/>
  <c r="AB10" i="24"/>
  <c r="AJ10" i="24"/>
  <c r="H11" i="24"/>
  <c r="P11" i="24"/>
  <c r="X11" i="24"/>
  <c r="AF11" i="24"/>
  <c r="L12" i="24"/>
  <c r="T12" i="24"/>
  <c r="AB12" i="24"/>
  <c r="AJ12" i="24"/>
  <c r="H13" i="24"/>
  <c r="P13" i="24"/>
  <c r="X13" i="24"/>
  <c r="AF13" i="24"/>
  <c r="L14" i="24"/>
  <c r="T14" i="24"/>
  <c r="AB14" i="24"/>
  <c r="AJ14" i="24"/>
  <c r="L16" i="24"/>
  <c r="T16" i="24"/>
  <c r="AB16" i="24"/>
  <c r="AJ16" i="24"/>
  <c r="AK26" i="24"/>
  <c r="AG27" i="24"/>
  <c r="J36" i="24"/>
  <c r="J34" i="24"/>
  <c r="J32" i="24"/>
  <c r="J30" i="24"/>
  <c r="J28" i="24"/>
  <c r="J26" i="24"/>
  <c r="R34" i="24"/>
  <c r="R32" i="24"/>
  <c r="R30" i="24"/>
  <c r="R28" i="24"/>
  <c r="R26" i="24"/>
  <c r="Z34" i="24"/>
  <c r="Z32" i="24"/>
  <c r="Z30" i="24"/>
  <c r="Z28" i="24"/>
  <c r="Z26" i="24"/>
  <c r="AH34" i="24"/>
  <c r="AH32" i="24"/>
  <c r="AH30" i="24"/>
  <c r="AH28" i="24"/>
  <c r="AH26" i="24"/>
  <c r="Z25" i="24"/>
  <c r="J29" i="24"/>
  <c r="AH31" i="24"/>
  <c r="R35" i="24"/>
  <c r="AK38" i="24"/>
  <c r="R33" i="24"/>
  <c r="AK36" i="24"/>
  <c r="AL37" i="24"/>
  <c r="J27" i="24"/>
  <c r="H10" i="24"/>
  <c r="P10" i="24"/>
  <c r="X10" i="24"/>
  <c r="L11" i="24"/>
  <c r="T11" i="24"/>
  <c r="AB11" i="24"/>
  <c r="H12" i="24"/>
  <c r="P12" i="24"/>
  <c r="X12" i="24"/>
  <c r="L13" i="24"/>
  <c r="T13" i="24"/>
  <c r="AB13" i="24"/>
  <c r="H14" i="24"/>
  <c r="P14" i="24"/>
  <c r="X14" i="24"/>
  <c r="L15" i="24"/>
  <c r="T15" i="24"/>
  <c r="AB15" i="24"/>
  <c r="H16" i="24"/>
  <c r="P16" i="24"/>
  <c r="X16" i="24"/>
  <c r="AF17" i="24"/>
  <c r="AK17" i="24"/>
  <c r="AJ17" i="24"/>
  <c r="L17" i="24"/>
  <c r="T17" i="24"/>
  <c r="AB17" i="24"/>
  <c r="J25" i="24"/>
  <c r="AH27" i="24"/>
  <c r="R31" i="24"/>
  <c r="AK34" i="24"/>
  <c r="AK35" i="24"/>
  <c r="Z37" i="24"/>
  <c r="R27" i="24"/>
  <c r="AK30" i="24"/>
  <c r="AG31" i="24"/>
  <c r="Z33" i="24"/>
  <c r="J37" i="24"/>
  <c r="H18" i="24"/>
  <c r="P18" i="24"/>
  <c r="X18" i="24"/>
  <c r="AF18" i="24"/>
  <c r="L19" i="24"/>
  <c r="T19" i="24"/>
  <c r="AB19" i="24"/>
  <c r="AJ19" i="24"/>
  <c r="H20" i="24"/>
  <c r="P20" i="24"/>
  <c r="X20" i="24"/>
  <c r="AF20" i="24"/>
  <c r="L21" i="24"/>
  <c r="T21" i="24"/>
  <c r="AB21" i="24"/>
  <c r="AJ21" i="24"/>
  <c r="H22" i="24"/>
  <c r="P22" i="24"/>
  <c r="X22" i="24"/>
  <c r="AF22" i="24"/>
  <c r="L23" i="24"/>
  <c r="T23" i="24"/>
  <c r="AB23" i="24"/>
  <c r="AJ23" i="24"/>
  <c r="H24" i="24"/>
  <c r="P24" i="24"/>
  <c r="X24" i="24"/>
  <c r="AF24" i="24"/>
  <c r="L25" i="24"/>
  <c r="T25" i="24"/>
  <c r="AB25" i="24"/>
  <c r="AJ25" i="24"/>
  <c r="H26" i="24"/>
  <c r="P26" i="24"/>
  <c r="X26" i="24"/>
  <c r="AF26" i="24"/>
  <c r="L27" i="24"/>
  <c r="T27" i="24"/>
  <c r="AB27" i="24"/>
  <c r="AJ27" i="24"/>
  <c r="H28" i="24"/>
  <c r="P28" i="24"/>
  <c r="X28" i="24"/>
  <c r="AF28" i="24"/>
  <c r="L29" i="24"/>
  <c r="T29" i="24"/>
  <c r="AB29" i="24"/>
  <c r="AJ29" i="24"/>
  <c r="H30" i="24"/>
  <c r="P30" i="24"/>
  <c r="X30" i="24"/>
  <c r="AF30" i="24"/>
  <c r="L31" i="24"/>
  <c r="T31" i="24"/>
  <c r="AB31" i="24"/>
  <c r="AJ31" i="24"/>
  <c r="H32" i="24"/>
  <c r="P32" i="24"/>
  <c r="X32" i="24"/>
  <c r="AF32" i="24"/>
  <c r="L33" i="24"/>
  <c r="T33" i="24"/>
  <c r="AB33" i="24"/>
  <c r="AJ33" i="24"/>
  <c r="H34" i="24"/>
  <c r="P34" i="24"/>
  <c r="X34" i="24"/>
  <c r="AF34" i="24"/>
  <c r="L35" i="24"/>
  <c r="T35" i="24"/>
  <c r="AB35" i="24"/>
  <c r="AJ35" i="24"/>
  <c r="H36" i="24"/>
  <c r="P36" i="24"/>
  <c r="X36" i="24"/>
  <c r="AF36" i="24"/>
  <c r="L37" i="24"/>
  <c r="T37" i="24"/>
  <c r="AB37" i="24"/>
  <c r="AJ37" i="24"/>
  <c r="H38" i="24"/>
  <c r="P38" i="24"/>
  <c r="X38" i="24"/>
  <c r="AF38" i="24"/>
  <c r="I18" i="24"/>
  <c r="Q18" i="24"/>
  <c r="Y18" i="24"/>
  <c r="AG18" i="24"/>
  <c r="M19" i="24"/>
  <c r="U19" i="24"/>
  <c r="AC19" i="24"/>
  <c r="AK19" i="24"/>
  <c r="I20" i="24"/>
  <c r="Q20" i="24"/>
  <c r="Y20" i="24"/>
  <c r="AG20" i="24"/>
  <c r="M21" i="24"/>
  <c r="U21" i="24"/>
  <c r="AC21" i="24"/>
  <c r="AK21" i="24"/>
  <c r="I22" i="24"/>
  <c r="Q22" i="24"/>
  <c r="Y22" i="24"/>
  <c r="AG22" i="24"/>
  <c r="M23" i="24"/>
  <c r="U23" i="24"/>
  <c r="AC23" i="24"/>
  <c r="AK23" i="24"/>
  <c r="I24" i="24"/>
  <c r="Q24" i="24"/>
  <c r="Y24" i="24"/>
  <c r="AG24" i="24"/>
  <c r="M25" i="24"/>
  <c r="U25" i="24"/>
  <c r="AC25" i="24"/>
  <c r="AK25" i="24"/>
  <c r="I26" i="24"/>
  <c r="Q26" i="24"/>
  <c r="Y26" i="24"/>
  <c r="AG26" i="24"/>
  <c r="M27" i="24"/>
  <c r="U27" i="24"/>
  <c r="AC27" i="24"/>
  <c r="AK27" i="24"/>
  <c r="I28" i="24"/>
  <c r="Q28" i="24"/>
  <c r="Y28" i="24"/>
  <c r="AG28" i="24"/>
  <c r="M29" i="24"/>
  <c r="U29" i="24"/>
  <c r="AC29" i="24"/>
  <c r="AK29" i="24"/>
  <c r="I30" i="24"/>
  <c r="Q30" i="24"/>
  <c r="Y30" i="24"/>
  <c r="AG30" i="24"/>
  <c r="M31" i="24"/>
  <c r="U31" i="24"/>
  <c r="AC31" i="24"/>
  <c r="AK31" i="24"/>
  <c r="I32" i="24"/>
  <c r="Q32" i="24"/>
  <c r="Y32" i="24"/>
  <c r="AG32" i="24"/>
  <c r="M33" i="24"/>
  <c r="U33" i="24"/>
  <c r="AC33" i="24"/>
  <c r="I34" i="24"/>
  <c r="Q34" i="24"/>
  <c r="Y34" i="24"/>
  <c r="AG34" i="24"/>
  <c r="M35" i="24"/>
  <c r="U35" i="24"/>
  <c r="AC35" i="24"/>
  <c r="I36" i="24"/>
  <c r="Q36" i="24"/>
  <c r="Y36" i="24"/>
  <c r="AG36" i="24"/>
  <c r="M37" i="24"/>
  <c r="U37" i="24"/>
  <c r="AC37" i="24"/>
  <c r="AK37" i="24"/>
  <c r="I38" i="24"/>
  <c r="Q38" i="24"/>
  <c r="Y38" i="24"/>
  <c r="AG38" i="24"/>
  <c r="R36" i="24"/>
  <c r="Z36" i="24"/>
  <c r="AH36" i="24"/>
  <c r="N37" i="24"/>
  <c r="V37" i="24"/>
  <c r="AD37" i="24"/>
  <c r="J38" i="24"/>
  <c r="R38" i="24"/>
  <c r="Z38" i="24"/>
  <c r="AH38" i="24"/>
  <c r="L18" i="24"/>
  <c r="T18" i="24"/>
  <c r="AB18" i="24"/>
  <c r="AJ18" i="24"/>
  <c r="H19" i="24"/>
  <c r="P19" i="24"/>
  <c r="X19" i="24"/>
  <c r="AF19" i="24"/>
  <c r="L20" i="24"/>
  <c r="T20" i="24"/>
  <c r="AB20" i="24"/>
  <c r="AJ20" i="24"/>
  <c r="H21" i="24"/>
  <c r="P21" i="24"/>
  <c r="X21" i="24"/>
  <c r="AF21" i="24"/>
  <c r="L22" i="24"/>
  <c r="T22" i="24"/>
  <c r="AB22" i="24"/>
  <c r="AJ22" i="24"/>
  <c r="H23" i="24"/>
  <c r="P23" i="24"/>
  <c r="X23" i="24"/>
  <c r="AF23" i="24"/>
  <c r="L24" i="24"/>
  <c r="T24" i="24"/>
  <c r="AB24" i="24"/>
  <c r="AJ24" i="24"/>
  <c r="H25" i="24"/>
  <c r="P25" i="24"/>
  <c r="X25" i="24"/>
  <c r="AF25" i="24"/>
  <c r="L26" i="24"/>
  <c r="T26" i="24"/>
  <c r="AB26" i="24"/>
  <c r="AJ26" i="24"/>
  <c r="H27" i="24"/>
  <c r="P27" i="24"/>
  <c r="X27" i="24"/>
  <c r="AF27" i="24"/>
  <c r="L28" i="24"/>
  <c r="T28" i="24"/>
  <c r="AB28" i="24"/>
  <c r="AJ28" i="24"/>
  <c r="X29" i="24"/>
  <c r="AF29" i="24"/>
  <c r="L30" i="24"/>
  <c r="T30" i="24"/>
  <c r="AB30" i="24"/>
  <c r="AJ30" i="24"/>
  <c r="L32" i="24"/>
  <c r="T32" i="24"/>
  <c r="AB32" i="24"/>
  <c r="AJ32" i="24"/>
  <c r="L34" i="24"/>
  <c r="T34" i="24"/>
  <c r="AB34" i="24"/>
  <c r="AJ34" i="24"/>
  <c r="L36" i="24"/>
  <c r="T36" i="24"/>
  <c r="AB36" i="24"/>
  <c r="AJ36" i="24"/>
  <c r="L38" i="24"/>
  <c r="T38" i="24"/>
  <c r="AB38" i="24"/>
  <c r="AJ38" i="24"/>
  <c r="M18" i="24"/>
  <c r="U18" i="24"/>
  <c r="AC18" i="24"/>
  <c r="I19" i="24"/>
  <c r="Q19" i="24"/>
  <c r="Y19" i="24"/>
  <c r="M20" i="24"/>
  <c r="U20" i="24"/>
  <c r="AC20" i="24"/>
  <c r="I21" i="24"/>
  <c r="Q21" i="24"/>
  <c r="Y21" i="24"/>
  <c r="M22" i="24"/>
  <c r="U22" i="24"/>
  <c r="AC22" i="24"/>
  <c r="I23" i="24"/>
  <c r="Q23" i="24"/>
  <c r="Y23" i="24"/>
  <c r="M24" i="24"/>
  <c r="U24" i="24"/>
  <c r="AC24" i="24"/>
  <c r="I25" i="24"/>
  <c r="Q25" i="24"/>
  <c r="Y25" i="24"/>
  <c r="M26" i="24"/>
  <c r="U26" i="24"/>
  <c r="AC26" i="24"/>
  <c r="I27" i="24"/>
  <c r="Q27" i="24"/>
  <c r="Y27" i="24"/>
  <c r="M28" i="24"/>
  <c r="U28" i="24"/>
  <c r="AC28" i="24"/>
  <c r="I29" i="24"/>
  <c r="Q29" i="24"/>
  <c r="Y29" i="24"/>
  <c r="M30" i="24"/>
  <c r="U30" i="24"/>
  <c r="AC30" i="24"/>
  <c r="Q31" i="24"/>
  <c r="Y31" i="24"/>
  <c r="M32" i="24"/>
  <c r="U32" i="24"/>
  <c r="AC32" i="24"/>
  <c r="M34" i="24"/>
  <c r="U34" i="24"/>
  <c r="AC34" i="24"/>
  <c r="M36" i="24"/>
  <c r="U36" i="24"/>
  <c r="AC36" i="24"/>
  <c r="M38" i="24"/>
  <c r="U38" i="24"/>
  <c r="AC38" i="24"/>
  <c r="AM31" i="26"/>
  <c r="AM13" i="26"/>
  <c r="P22" i="26"/>
  <c r="P33" i="26"/>
  <c r="X22" i="26"/>
  <c r="X33" i="26"/>
  <c r="AF22" i="26"/>
  <c r="AF33" i="26"/>
  <c r="AN22" i="26"/>
  <c r="AN33" i="26"/>
  <c r="L11" i="26"/>
  <c r="P13" i="26"/>
  <c r="L15" i="26"/>
  <c r="P17" i="26"/>
  <c r="Y19" i="26"/>
  <c r="AK24" i="26"/>
  <c r="AE29" i="26"/>
  <c r="AI27" i="26"/>
  <c r="I37" i="26"/>
  <c r="Q20" i="26"/>
  <c r="Y24" i="26"/>
  <c r="AG28" i="26"/>
  <c r="AI10" i="26"/>
  <c r="AM12" i="26"/>
  <c r="AI14" i="26"/>
  <c r="AM16" i="26"/>
  <c r="K19" i="26"/>
  <c r="Q23" i="26"/>
  <c r="M28" i="26"/>
  <c r="Y34" i="26"/>
  <c r="AE27" i="26"/>
  <c r="AM22" i="26"/>
  <c r="J28" i="26"/>
  <c r="J22" i="26"/>
  <c r="R28" i="26"/>
  <c r="R26" i="26"/>
  <c r="Z32" i="26"/>
  <c r="Z30" i="26"/>
  <c r="AH36" i="26"/>
  <c r="AH34" i="26"/>
  <c r="N11" i="26"/>
  <c r="J13" i="26"/>
  <c r="N15" i="26"/>
  <c r="J17" i="26"/>
  <c r="AC19" i="26"/>
  <c r="AN24" i="26"/>
  <c r="AH29" i="26"/>
  <c r="W35" i="26"/>
  <c r="U16" i="26"/>
  <c r="K38" i="26"/>
  <c r="S21" i="26"/>
  <c r="AA29" i="26"/>
  <c r="AI37" i="26"/>
  <c r="AI30" i="26"/>
  <c r="AM11" i="26"/>
  <c r="AI13" i="26"/>
  <c r="AM15" i="26"/>
  <c r="AJ17" i="26"/>
  <c r="I21" i="26"/>
  <c r="O25" i="26"/>
  <c r="AG30" i="26"/>
  <c r="L36" i="26"/>
  <c r="L25" i="26"/>
  <c r="L19" i="26"/>
  <c r="T29" i="26"/>
  <c r="T23" i="26"/>
  <c r="AB33" i="26"/>
  <c r="AB27" i="26"/>
  <c r="AJ37" i="26"/>
  <c r="AJ31" i="26"/>
  <c r="P11" i="26"/>
  <c r="L13" i="26"/>
  <c r="P15" i="26"/>
  <c r="L17" i="26"/>
  <c r="AG19" i="26"/>
  <c r="AL23" i="26"/>
  <c r="S28" i="26"/>
  <c r="Q38" i="26"/>
  <c r="M26" i="26"/>
  <c r="U34" i="26"/>
  <c r="AC33" i="26"/>
  <c r="AC31" i="26"/>
  <c r="AK18" i="26"/>
  <c r="Q11" i="26"/>
  <c r="U13" i="26"/>
  <c r="Q15" i="26"/>
  <c r="U17" i="26"/>
  <c r="AN20" i="26"/>
  <c r="AE24" i="26"/>
  <c r="Y29" i="26"/>
  <c r="O31" i="26"/>
  <c r="N37" i="26"/>
  <c r="N26" i="26"/>
  <c r="V37" i="26"/>
  <c r="V26" i="26"/>
  <c r="AD37" i="26"/>
  <c r="AD26" i="26"/>
  <c r="AL37" i="26"/>
  <c r="AL26" i="26"/>
  <c r="P10" i="26"/>
  <c r="L12" i="26"/>
  <c r="P14" i="26"/>
  <c r="L16" i="26"/>
  <c r="I18" i="26"/>
  <c r="O21" i="26"/>
  <c r="U25" i="26"/>
  <c r="J29" i="26"/>
  <c r="M18" i="26"/>
  <c r="AK31" i="26"/>
  <c r="AK13" i="26"/>
  <c r="AC21" i="26"/>
  <c r="J33" i="26"/>
  <c r="N29" i="26"/>
  <c r="V35" i="26"/>
  <c r="AD35" i="26"/>
  <c r="AF10" i="26"/>
  <c r="AF14" i="26"/>
  <c r="AA18" i="26"/>
  <c r="Q30" i="26"/>
  <c r="AM27" i="26"/>
  <c r="AE17" i="26"/>
  <c r="P35" i="26"/>
  <c r="P29" i="26"/>
  <c r="X35" i="26"/>
  <c r="X29" i="26"/>
  <c r="AF35" i="26"/>
  <c r="AF29" i="26"/>
  <c r="AN35" i="26"/>
  <c r="AN29" i="26"/>
  <c r="T11" i="26"/>
  <c r="X13" i="26"/>
  <c r="T15" i="26"/>
  <c r="X17" i="26"/>
  <c r="O20" i="26"/>
  <c r="O26" i="26"/>
  <c r="W30" i="26"/>
  <c r="I35" i="26"/>
  <c r="I33" i="26"/>
  <c r="Q37" i="26"/>
  <c r="Y20" i="26"/>
  <c r="AG24" i="26"/>
  <c r="M11" i="26"/>
  <c r="I13" i="26"/>
  <c r="M15" i="26"/>
  <c r="I17" i="26"/>
  <c r="AA19" i="26"/>
  <c r="AG23" i="26"/>
  <c r="AC28" i="26"/>
  <c r="S35" i="26"/>
  <c r="AE23" i="26"/>
  <c r="J35" i="26"/>
  <c r="J24" i="26"/>
  <c r="R35" i="26"/>
  <c r="R24" i="26"/>
  <c r="R22" i="26"/>
  <c r="Z28" i="26"/>
  <c r="Z26" i="26"/>
  <c r="AH32" i="26"/>
  <c r="AH30" i="26"/>
  <c r="V11" i="26"/>
  <c r="R13" i="26"/>
  <c r="V15" i="26"/>
  <c r="R17" i="26"/>
  <c r="S20" i="26"/>
  <c r="M25" i="26"/>
  <c r="I30" i="26"/>
  <c r="W31" i="26"/>
  <c r="K36" i="26"/>
  <c r="K34" i="26"/>
  <c r="S38" i="26"/>
  <c r="AA25" i="26"/>
  <c r="AI33" i="26"/>
  <c r="M10" i="26"/>
  <c r="I12" i="26"/>
  <c r="M14" i="26"/>
  <c r="I16" i="26"/>
  <c r="O18" i="26"/>
  <c r="Y21" i="26"/>
  <c r="AE25" i="26"/>
  <c r="N31" i="26"/>
  <c r="L32" i="26"/>
  <c r="L21" i="26"/>
  <c r="T36" i="26"/>
  <c r="T25" i="26"/>
  <c r="T19" i="26"/>
  <c r="AB29" i="26"/>
  <c r="AB23" i="26"/>
  <c r="AJ33" i="26"/>
  <c r="AJ27" i="26"/>
  <c r="X11" i="26"/>
  <c r="T13" i="26"/>
  <c r="X15" i="26"/>
  <c r="T17" i="26"/>
  <c r="W20" i="26"/>
  <c r="M24" i="26"/>
  <c r="AI28" i="26"/>
  <c r="AE13" i="26"/>
  <c r="M22" i="26"/>
  <c r="U30" i="26"/>
  <c r="AC38" i="26"/>
  <c r="AK37" i="26"/>
  <c r="AK35" i="26"/>
  <c r="Y11" i="26"/>
  <c r="AC13" i="26"/>
  <c r="Y15" i="26"/>
  <c r="AC17" i="26"/>
  <c r="M21" i="26"/>
  <c r="R25" i="26"/>
  <c r="AF32" i="26"/>
  <c r="O27" i="26"/>
  <c r="N33" i="26"/>
  <c r="N22" i="26"/>
  <c r="V33" i="26"/>
  <c r="V22" i="26"/>
  <c r="AD33" i="26"/>
  <c r="AD22" i="26"/>
  <c r="AL33" i="26"/>
  <c r="AL22" i="26"/>
  <c r="X10" i="26"/>
  <c r="T12" i="26"/>
  <c r="X14" i="26"/>
  <c r="T16" i="26"/>
  <c r="R18" i="26"/>
  <c r="AE21" i="26"/>
  <c r="AK25" i="26"/>
  <c r="Z29" i="26"/>
  <c r="W17" i="26"/>
  <c r="AG15" i="26"/>
  <c r="AH25" i="26"/>
  <c r="O23" i="26"/>
  <c r="V29" i="26"/>
  <c r="AD29" i="26"/>
  <c r="AL29" i="26"/>
  <c r="AB12" i="26"/>
  <c r="AB16" i="26"/>
  <c r="T22" i="26"/>
  <c r="AM23" i="26"/>
  <c r="S24" i="26"/>
  <c r="P31" i="26"/>
  <c r="P25" i="26"/>
  <c r="X31" i="26"/>
  <c r="X25" i="26"/>
  <c r="AF31" i="26"/>
  <c r="AF25" i="26"/>
  <c r="AN31" i="26"/>
  <c r="AN25" i="26"/>
  <c r="AB11" i="26"/>
  <c r="AF13" i="26"/>
  <c r="AB15" i="26"/>
  <c r="AF17" i="26"/>
  <c r="AE20" i="26"/>
  <c r="AE26" i="26"/>
  <c r="AI31" i="26"/>
  <c r="I31" i="26"/>
  <c r="Q35" i="26"/>
  <c r="Q33" i="26"/>
  <c r="Y37" i="26"/>
  <c r="AG20" i="26"/>
  <c r="U11" i="26"/>
  <c r="Q13" i="26"/>
  <c r="U15" i="26"/>
  <c r="Q17" i="26"/>
  <c r="P20" i="26"/>
  <c r="W24" i="26"/>
  <c r="Q29" i="26"/>
  <c r="M36" i="26"/>
  <c r="AE19" i="26"/>
  <c r="J31" i="26"/>
  <c r="J20" i="26"/>
  <c r="R31" i="26"/>
  <c r="R20" i="26"/>
  <c r="Z35" i="26"/>
  <c r="Z24" i="26"/>
  <c r="Z22" i="26"/>
  <c r="AH28" i="26"/>
  <c r="AH26" i="26"/>
  <c r="AD11" i="26"/>
  <c r="Z13" i="26"/>
  <c r="AD15" i="26"/>
  <c r="Z17" i="26"/>
  <c r="AI20" i="26"/>
  <c r="AC25" i="26"/>
  <c r="U32" i="26"/>
  <c r="W27" i="26"/>
  <c r="K32" i="26"/>
  <c r="S36" i="26"/>
  <c r="S34" i="26"/>
  <c r="AA21" i="26"/>
  <c r="AI29" i="26"/>
  <c r="U10" i="26"/>
  <c r="Q12" i="26"/>
  <c r="U14" i="26"/>
  <c r="Q16" i="26"/>
  <c r="X18" i="26"/>
  <c r="O22" i="26"/>
  <c r="K27" i="26"/>
  <c r="X32" i="26"/>
  <c r="L28" i="26"/>
  <c r="L38" i="26"/>
  <c r="T32" i="26"/>
  <c r="T21" i="26"/>
  <c r="AB36" i="26"/>
  <c r="AB25" i="26"/>
  <c r="AB19" i="26"/>
  <c r="AJ29" i="26"/>
  <c r="AJ23" i="26"/>
  <c r="AF11" i="26"/>
  <c r="AB13" i="26"/>
  <c r="AF15" i="26"/>
  <c r="AB17" i="26"/>
  <c r="AM20" i="26"/>
  <c r="AC24" i="26"/>
  <c r="W29" i="26"/>
  <c r="U26" i="26"/>
  <c r="AC34" i="26"/>
  <c r="AK33" i="26"/>
  <c r="AG11" i="26"/>
  <c r="Q18" i="26"/>
  <c r="N35" i="26"/>
  <c r="AL35" i="26"/>
  <c r="K26" i="26"/>
  <c r="AM19" i="26"/>
  <c r="W25" i="26"/>
  <c r="P27" i="26"/>
  <c r="P21" i="26"/>
  <c r="X27" i="26"/>
  <c r="X21" i="26"/>
  <c r="AF27" i="26"/>
  <c r="AF21" i="26"/>
  <c r="AN27" i="26"/>
  <c r="AN21" i="26"/>
  <c r="AJ11" i="26"/>
  <c r="AN13" i="26"/>
  <c r="AJ15" i="26"/>
  <c r="K18" i="26"/>
  <c r="I22" i="26"/>
  <c r="U27" i="26"/>
  <c r="M32" i="26"/>
  <c r="I36" i="26"/>
  <c r="Q31" i="26"/>
  <c r="Y35" i="26"/>
  <c r="Y33" i="26"/>
  <c r="AG37" i="26"/>
  <c r="AC11" i="26"/>
  <c r="Y13" i="26"/>
  <c r="AC15" i="26"/>
  <c r="Y17" i="26"/>
  <c r="AF20" i="26"/>
  <c r="AM24" i="26"/>
  <c r="AG29" i="26"/>
  <c r="AE38" i="26"/>
  <c r="AE36" i="26"/>
  <c r="J27" i="26"/>
  <c r="J37" i="26"/>
  <c r="R27" i="26"/>
  <c r="R37" i="26"/>
  <c r="Z31" i="26"/>
  <c r="Z20" i="26"/>
  <c r="AH35" i="26"/>
  <c r="AH24" i="26"/>
  <c r="AH22" i="26"/>
  <c r="AL11" i="26"/>
  <c r="AH13" i="26"/>
  <c r="AL15" i="26"/>
  <c r="AH17" i="26"/>
  <c r="AM21" i="26"/>
  <c r="I27" i="26"/>
  <c r="AG34" i="26"/>
  <c r="W23" i="26"/>
  <c r="K37" i="26"/>
  <c r="S32" i="26"/>
  <c r="S30" i="26"/>
  <c r="AA38" i="26"/>
  <c r="AI25" i="26"/>
  <c r="AC10" i="26"/>
  <c r="Y12" i="26"/>
  <c r="AC14" i="26"/>
  <c r="Y16" i="26"/>
  <c r="AG18" i="26"/>
  <c r="AE22" i="26"/>
  <c r="AA27" i="26"/>
  <c r="AI35" i="26"/>
  <c r="L24" i="26"/>
  <c r="L34" i="26"/>
  <c r="T28" i="26"/>
  <c r="T38" i="26"/>
  <c r="AB32" i="26"/>
  <c r="AB21" i="26"/>
  <c r="AJ36" i="26"/>
  <c r="AJ25" i="26"/>
  <c r="AJ19" i="26"/>
  <c r="AN11" i="26"/>
  <c r="AJ13" i="26"/>
  <c r="AN15" i="26"/>
  <c r="AK17" i="26"/>
  <c r="J21" i="26"/>
  <c r="Q25" i="26"/>
  <c r="AM29" i="26"/>
  <c r="M37" i="26"/>
  <c r="M35" i="26"/>
  <c r="U22" i="26"/>
  <c r="AC30" i="26"/>
  <c r="AK38" i="26"/>
  <c r="O10" i="26"/>
  <c r="K12" i="26"/>
  <c r="O14" i="26"/>
  <c r="K16" i="26"/>
  <c r="Z18" i="26"/>
  <c r="S22" i="26"/>
  <c r="I26" i="26"/>
  <c r="AM37" i="26"/>
  <c r="O19" i="26"/>
  <c r="N25" i="26"/>
  <c r="N36" i="26"/>
  <c r="V25" i="26"/>
  <c r="V36" i="26"/>
  <c r="AD25" i="26"/>
  <c r="AD36" i="26"/>
  <c r="AL25" i="26"/>
  <c r="AL36" i="26"/>
  <c r="AN10" i="26"/>
  <c r="AJ12" i="26"/>
  <c r="AN14" i="26"/>
  <c r="AJ16" i="26"/>
  <c r="AJ18" i="26"/>
  <c r="AJ22" i="26"/>
  <c r="AA26" i="26"/>
  <c r="AA31" i="26"/>
  <c r="AM32" i="26"/>
  <c r="P19" i="26"/>
  <c r="X19" i="26"/>
  <c r="AF19" i="26"/>
  <c r="AN19" i="26"/>
  <c r="V12" i="26"/>
  <c r="R14" i="26"/>
  <c r="AD18" i="26"/>
  <c r="K28" i="26"/>
  <c r="I28" i="26"/>
  <c r="Y36" i="26"/>
  <c r="K10" i="26"/>
  <c r="K14" i="26"/>
  <c r="AK21" i="26"/>
  <c r="AL31" i="26"/>
  <c r="U12" i="26"/>
  <c r="J19" i="26"/>
  <c r="R19" i="26"/>
  <c r="AM38" i="26"/>
  <c r="AM36" i="26"/>
  <c r="P38" i="26"/>
  <c r="P23" i="26"/>
  <c r="X38" i="26"/>
  <c r="X23" i="26"/>
  <c r="AF38" i="26"/>
  <c r="AF23" i="26"/>
  <c r="AN38" i="26"/>
  <c r="AN23" i="26"/>
  <c r="J10" i="26"/>
  <c r="N12" i="26"/>
  <c r="J14" i="26"/>
  <c r="N16" i="26"/>
  <c r="T18" i="26"/>
  <c r="Y22" i="26"/>
  <c r="AK27" i="26"/>
  <c r="AE33" i="26"/>
  <c r="I32" i="26"/>
  <c r="Q36" i="26"/>
  <c r="Y31" i="26"/>
  <c r="AG35" i="26"/>
  <c r="AG33" i="26"/>
  <c r="AK11" i="26"/>
  <c r="AG13" i="26"/>
  <c r="AK15" i="26"/>
  <c r="AG17" i="26"/>
  <c r="U21" i="26"/>
  <c r="Q26" i="26"/>
  <c r="Y30" i="26"/>
  <c r="AE34" i="26"/>
  <c r="AE32" i="26"/>
  <c r="J23" i="26"/>
  <c r="J38" i="26"/>
  <c r="R23" i="26"/>
  <c r="R33" i="26"/>
  <c r="Z27" i="26"/>
  <c r="Z37" i="26"/>
  <c r="AH31" i="26"/>
  <c r="AH20" i="26"/>
  <c r="L10" i="26"/>
  <c r="P12" i="26"/>
  <c r="L14" i="26"/>
  <c r="P16" i="26"/>
  <c r="N18" i="26"/>
  <c r="AB22" i="26"/>
  <c r="Y27" i="26"/>
  <c r="U36" i="26"/>
  <c r="W19" i="26"/>
  <c r="K33" i="26"/>
  <c r="S37" i="26"/>
  <c r="AA36" i="26"/>
  <c r="AA34" i="26"/>
  <c r="AI21" i="26"/>
  <c r="AK10" i="26"/>
  <c r="AG12" i="26"/>
  <c r="AK14" i="26"/>
  <c r="AG16" i="26"/>
  <c r="N19" i="26"/>
  <c r="U23" i="26"/>
  <c r="P28" i="26"/>
  <c r="AC36" i="26"/>
  <c r="L20" i="26"/>
  <c r="L35" i="26"/>
  <c r="T24" i="26"/>
  <c r="T34" i="26"/>
  <c r="AB28" i="26"/>
  <c r="AB38" i="26"/>
  <c r="AJ32" i="26"/>
  <c r="AJ21" i="26"/>
  <c r="N10" i="26"/>
  <c r="J12" i="26"/>
  <c r="N14" i="26"/>
  <c r="J16" i="26"/>
  <c r="P18" i="26"/>
  <c r="Z21" i="26"/>
  <c r="AG25" i="26"/>
  <c r="L30" i="26"/>
  <c r="M33" i="26"/>
  <c r="M31" i="26"/>
  <c r="U18" i="26"/>
  <c r="AC26" i="26"/>
  <c r="AK34" i="26"/>
  <c r="W10" i="26"/>
  <c r="S12" i="26"/>
  <c r="W14" i="26"/>
  <c r="S16" i="26"/>
  <c r="AI18" i="26"/>
  <c r="AI22" i="26"/>
  <c r="Y26" i="26"/>
  <c r="Y38" i="26"/>
  <c r="O36" i="26"/>
  <c r="N21" i="26"/>
  <c r="N32" i="26"/>
  <c r="V21" i="26"/>
  <c r="V32" i="26"/>
  <c r="AD21" i="26"/>
  <c r="AD32" i="26"/>
  <c r="AL21" i="26"/>
  <c r="AL32" i="26"/>
  <c r="J11" i="26"/>
  <c r="N13" i="26"/>
  <c r="J15" i="26"/>
  <c r="N17" i="26"/>
  <c r="U19" i="26"/>
  <c r="K23" i="26"/>
  <c r="Q27" i="26"/>
  <c r="AK32" i="26"/>
  <c r="AM34" i="26"/>
  <c r="P34" i="26"/>
  <c r="X34" i="26"/>
  <c r="AF34" i="26"/>
  <c r="AN34" i="26"/>
  <c r="R10" i="26"/>
  <c r="V16" i="26"/>
  <c r="N23" i="26"/>
  <c r="K35" i="26"/>
  <c r="Q32" i="26"/>
  <c r="AG31" i="26"/>
  <c r="O12" i="26"/>
  <c r="O16" i="26"/>
  <c r="L18" i="26"/>
  <c r="AG26" i="26"/>
  <c r="AE30" i="26"/>
  <c r="J34" i="26"/>
  <c r="R38" i="26"/>
  <c r="AM30" i="26"/>
  <c r="AC12" i="26"/>
  <c r="P30" i="26"/>
  <c r="P36" i="26"/>
  <c r="X30" i="26"/>
  <c r="X36" i="26"/>
  <c r="AF30" i="26"/>
  <c r="AF36" i="26"/>
  <c r="AN30" i="26"/>
  <c r="AN36" i="26"/>
  <c r="Z10" i="26"/>
  <c r="AD12" i="26"/>
  <c r="Z14" i="26"/>
  <c r="AD16" i="26"/>
  <c r="AM18" i="26"/>
  <c r="AD23" i="26"/>
  <c r="AA28" i="26"/>
  <c r="O17" i="26"/>
  <c r="I24" i="26"/>
  <c r="Q28" i="26"/>
  <c r="Y32" i="26"/>
  <c r="AG36" i="26"/>
  <c r="S10" i="26"/>
  <c r="W12" i="26"/>
  <c r="S14" i="26"/>
  <c r="W16" i="26"/>
  <c r="V18" i="26"/>
  <c r="K22" i="26"/>
  <c r="V27" i="26"/>
  <c r="P32" i="26"/>
  <c r="AE35" i="26"/>
  <c r="W13" i="26"/>
  <c r="J36" i="26"/>
  <c r="J30" i="26"/>
  <c r="R36" i="26"/>
  <c r="R34" i="26"/>
  <c r="Z19" i="26"/>
  <c r="Z38" i="26"/>
  <c r="AH23" i="26"/>
  <c r="AH33" i="26"/>
  <c r="AB10" i="26"/>
  <c r="AF12" i="26"/>
  <c r="AB14" i="26"/>
  <c r="AF16" i="26"/>
  <c r="AF18" i="26"/>
  <c r="AI23" i="26"/>
  <c r="AE28" i="26"/>
  <c r="W38" i="26"/>
  <c r="W32" i="26"/>
  <c r="K25" i="26"/>
  <c r="S29" i="26"/>
  <c r="AA37" i="26"/>
  <c r="AI36" i="26"/>
  <c r="AI38" i="26"/>
  <c r="W11" i="26"/>
  <c r="S13" i="26"/>
  <c r="W15" i="26"/>
  <c r="S17" i="26"/>
  <c r="U20" i="26"/>
  <c r="K24" i="26"/>
  <c r="AK29" i="26"/>
  <c r="I38" i="26"/>
  <c r="L33" i="26"/>
  <c r="L27" i="26"/>
  <c r="T37" i="26"/>
  <c r="T31" i="26"/>
  <c r="AB20" i="26"/>
  <c r="AB35" i="26"/>
  <c r="AJ24" i="26"/>
  <c r="AJ34" i="26"/>
  <c r="AD10" i="26"/>
  <c r="Z12" i="26"/>
  <c r="AD14" i="26"/>
  <c r="Z16" i="26"/>
  <c r="AH18" i="26"/>
  <c r="AG22" i="26"/>
  <c r="AM26" i="26"/>
  <c r="S31" i="26"/>
  <c r="M34" i="26"/>
  <c r="U33" i="26"/>
  <c r="U31" i="26"/>
  <c r="AC18" i="26"/>
  <c r="AK26" i="26"/>
  <c r="AM10" i="26"/>
  <c r="AI12" i="26"/>
  <c r="AM14" i="26"/>
  <c r="AI16" i="26"/>
  <c r="AI19" i="26"/>
  <c r="Y23" i="26"/>
  <c r="AK28" i="26"/>
  <c r="O34" i="26"/>
  <c r="W22" i="26"/>
  <c r="N34" i="26"/>
  <c r="N24" i="26"/>
  <c r="V34" i="26"/>
  <c r="V24" i="26"/>
  <c r="AD34" i="26"/>
  <c r="AD24" i="26"/>
  <c r="AL34" i="26"/>
  <c r="AL24" i="26"/>
  <c r="Z11" i="26"/>
  <c r="AD13" i="26"/>
  <c r="Z15" i="26"/>
  <c r="AD17" i="26"/>
  <c r="K20" i="26"/>
  <c r="P24" i="26"/>
  <c r="W28" i="26"/>
  <c r="AG38" i="26"/>
  <c r="AM35" i="26"/>
  <c r="O13" i="26"/>
  <c r="P26" i="26"/>
  <c r="P37" i="26"/>
  <c r="X26" i="26"/>
  <c r="X37" i="26"/>
  <c r="AF26" i="26"/>
  <c r="AF37" i="26"/>
  <c r="AN26" i="26"/>
  <c r="AN37" i="26"/>
  <c r="AH10" i="26"/>
  <c r="AL12" i="26"/>
  <c r="AH14" i="26"/>
  <c r="AL16" i="26"/>
  <c r="I19" i="26"/>
  <c r="U24" i="26"/>
  <c r="O29" i="26"/>
  <c r="AM25" i="26"/>
  <c r="I20" i="26"/>
  <c r="Q24" i="26"/>
  <c r="AA22" i="26"/>
  <c r="R30" i="26"/>
  <c r="AH38" i="26"/>
  <c r="AN16" i="26"/>
  <c r="W34" i="26"/>
  <c r="AA33" i="26"/>
  <c r="AA13" i="26"/>
  <c r="AA24" i="26"/>
  <c r="L23" i="26"/>
  <c r="AB31" i="26"/>
  <c r="AH12" i="26"/>
  <c r="V23" i="26"/>
  <c r="U38" i="26"/>
  <c r="I11" i="26"/>
  <c r="X20" i="26"/>
  <c r="W33" i="26"/>
  <c r="V20" i="26"/>
  <c r="AL20" i="26"/>
  <c r="AM17" i="26"/>
  <c r="K13" i="26"/>
  <c r="Y28" i="26"/>
  <c r="AL27" i="26"/>
  <c r="Z23" i="26"/>
  <c r="T10" i="26"/>
  <c r="W18" i="26"/>
  <c r="W36" i="26"/>
  <c r="AA30" i="26"/>
  <c r="O15" i="26"/>
  <c r="AF28" i="26"/>
  <c r="T20" i="26"/>
  <c r="AJ28" i="26"/>
  <c r="V14" i="26"/>
  <c r="W26" i="26"/>
  <c r="U35" i="26"/>
  <c r="AA12" i="26"/>
  <c r="I23" i="26"/>
  <c r="N38" i="26"/>
  <c r="AD38" i="26"/>
  <c r="R11" i="26"/>
  <c r="AK19" i="26"/>
  <c r="AD30" i="26"/>
  <c r="AH27" i="26"/>
  <c r="O11" i="26"/>
  <c r="V10" i="26"/>
  <c r="AA16" i="26"/>
  <c r="R15" i="26"/>
  <c r="AA32" i="26"/>
  <c r="S19" i="26"/>
  <c r="AL28" i="26"/>
  <c r="AG32" i="26"/>
  <c r="AM33" i="26"/>
  <c r="Z36" i="26"/>
  <c r="AJ10" i="26"/>
  <c r="M19" i="26"/>
  <c r="AK12" i="26"/>
  <c r="AI32" i="26"/>
  <c r="AE15" i="26"/>
  <c r="K30" i="26"/>
  <c r="T33" i="26"/>
  <c r="AJ20" i="26"/>
  <c r="AL14" i="26"/>
  <c r="AC27" i="26"/>
  <c r="AC37" i="26"/>
  <c r="M13" i="26"/>
  <c r="O24" i="26"/>
  <c r="N30" i="26"/>
  <c r="AH11" i="26"/>
  <c r="AA20" i="26"/>
  <c r="T14" i="26"/>
  <c r="S33" i="26"/>
  <c r="L37" i="26"/>
  <c r="M38" i="26"/>
  <c r="V38" i="26"/>
  <c r="AH37" i="26"/>
  <c r="L31" i="26"/>
  <c r="Q22" i="26"/>
  <c r="O32" i="26"/>
  <c r="AA10" i="26"/>
  <c r="AE31" i="26"/>
  <c r="Z33" i="26"/>
  <c r="X12" i="26"/>
  <c r="S23" i="26"/>
  <c r="K29" i="26"/>
  <c r="AI17" i="26"/>
  <c r="K17" i="26"/>
  <c r="W37" i="26"/>
  <c r="T35" i="26"/>
  <c r="AJ38" i="26"/>
  <c r="R16" i="26"/>
  <c r="AJ30" i="26"/>
  <c r="AC22" i="26"/>
  <c r="AE14" i="26"/>
  <c r="U28" i="26"/>
  <c r="N28" i="26"/>
  <c r="AD28" i="26"/>
  <c r="V13" i="26"/>
  <c r="AA23" i="26"/>
  <c r="AA14" i="26"/>
  <c r="Y18" i="26"/>
  <c r="O38" i="26"/>
  <c r="AG27" i="26"/>
  <c r="X16" i="26"/>
  <c r="AB34" i="26"/>
  <c r="AE10" i="26"/>
  <c r="V17" i="26"/>
  <c r="AE12" i="26"/>
  <c r="AK16" i="26"/>
  <c r="Z34" i="26"/>
  <c r="AN12" i="26"/>
  <c r="X24" i="26"/>
  <c r="K21" i="26"/>
  <c r="AI34" i="26"/>
  <c r="AA17" i="26"/>
  <c r="AC16" i="26"/>
  <c r="T27" i="26"/>
  <c r="AJ35" i="26"/>
  <c r="AH16" i="26"/>
  <c r="AE37" i="26"/>
  <c r="AC35" i="26"/>
  <c r="I15" i="26"/>
  <c r="I29" i="26"/>
  <c r="N20" i="26"/>
  <c r="AD20" i="26"/>
  <c r="AL13" i="26"/>
  <c r="AF24" i="26"/>
  <c r="J32" i="26"/>
  <c r="O28" i="26"/>
  <c r="AD19" i="26"/>
  <c r="AB24" i="26"/>
  <c r="AK30" i="26"/>
  <c r="AL38" i="26"/>
  <c r="O37" i="26"/>
  <c r="AK23" i="26"/>
  <c r="R12" i="26"/>
  <c r="U37" i="26"/>
  <c r="V28" i="26"/>
  <c r="O33" i="26"/>
  <c r="AE16" i="26"/>
  <c r="J26" i="26"/>
  <c r="AH19" i="26"/>
  <c r="AJ14" i="26"/>
  <c r="R29" i="26"/>
  <c r="S25" i="26"/>
  <c r="AE11" i="26"/>
  <c r="AK20" i="26"/>
  <c r="L29" i="26"/>
  <c r="AB37" i="26"/>
  <c r="AL10" i="26"/>
  <c r="Q19" i="26"/>
  <c r="M30" i="26"/>
  <c r="AK22" i="26"/>
  <c r="M17" i="26"/>
  <c r="O35" i="26"/>
  <c r="V30" i="26"/>
  <c r="AL30" i="26"/>
  <c r="AH15" i="26"/>
  <c r="AM28" i="26"/>
  <c r="AN18" i="26"/>
  <c r="R32" i="26"/>
  <c r="E29" i="29" l="1"/>
  <c r="E21" i="29"/>
  <c r="E11" i="29"/>
  <c r="E41" i="29"/>
  <c r="E37" i="29"/>
  <c r="E33" i="29"/>
  <c r="E14" i="29"/>
  <c r="E19" i="29"/>
  <c r="E26" i="29"/>
  <c r="E30" i="29"/>
  <c r="E24" i="29"/>
  <c r="E15" i="29"/>
  <c r="E22" i="29"/>
  <c r="E34" i="29"/>
  <c r="E38" i="29"/>
  <c r="E16" i="29"/>
  <c r="E12" i="29"/>
  <c r="E27" i="29"/>
  <c r="E31" i="29"/>
  <c r="E17" i="29"/>
  <c r="E20" i="29"/>
  <c r="E35" i="29"/>
  <c r="E39" i="29"/>
  <c r="E10" i="29"/>
  <c r="E23" i="29"/>
  <c r="E28" i="29"/>
  <c r="E32" i="29"/>
  <c r="E13" i="29"/>
  <c r="E18" i="29"/>
  <c r="E25" i="29"/>
  <c r="E36" i="29"/>
  <c r="E40" i="29"/>
  <c r="G29" i="26"/>
  <c r="G15" i="26"/>
  <c r="G23" i="26"/>
  <c r="G11" i="26"/>
  <c r="G20" i="26"/>
  <c r="G19" i="26"/>
  <c r="G38" i="26"/>
  <c r="G25" i="26"/>
  <c r="G24" i="26"/>
  <c r="G34" i="26"/>
  <c r="G32" i="26"/>
  <c r="G14" i="26"/>
  <c r="G10" i="26"/>
  <c r="G28" i="26"/>
  <c r="G26" i="26"/>
  <c r="G27" i="26"/>
  <c r="G36" i="26"/>
  <c r="G22" i="26"/>
  <c r="G31" i="26"/>
  <c r="G16" i="26"/>
  <c r="G12" i="26"/>
  <c r="G30" i="26"/>
  <c r="G17" i="26"/>
  <c r="G13" i="26"/>
  <c r="G33" i="26"/>
  <c r="G35" i="26"/>
  <c r="G18" i="26"/>
  <c r="G21" i="26"/>
  <c r="G37" i="26"/>
  <c r="E39" i="24"/>
  <c r="E40" i="24"/>
  <c r="E41" i="24"/>
  <c r="E12" i="24"/>
  <c r="E13" i="24"/>
  <c r="E18" i="24"/>
  <c r="E25" i="24"/>
  <c r="E34" i="24"/>
  <c r="E15" i="24"/>
  <c r="E14" i="24"/>
  <c r="E20" i="24"/>
  <c r="E26" i="24"/>
  <c r="E28" i="24"/>
  <c r="E16" i="24"/>
  <c r="E22" i="24"/>
  <c r="E19" i="24"/>
  <c r="E10" i="24"/>
  <c r="E24" i="24"/>
  <c r="E21" i="24"/>
  <c r="E30" i="24"/>
  <c r="E38" i="24"/>
  <c r="E31" i="24"/>
  <c r="E23" i="24"/>
  <c r="E11" i="24"/>
  <c r="E37" i="24"/>
  <c r="E32" i="24"/>
  <c r="E35" i="24"/>
  <c r="E17" i="24"/>
  <c r="E29" i="24"/>
  <c r="E33" i="24"/>
  <c r="E27" i="24"/>
  <c r="E36" i="24"/>
  <c r="B6" i="29" l="1"/>
  <c r="B6" i="26"/>
  <c r="B41" i="23" l="1"/>
  <c r="B40" i="23"/>
  <c r="B39" i="23"/>
  <c r="B38" i="23"/>
  <c r="B37" i="23"/>
  <c r="B44" i="23"/>
  <c r="P34" i="23"/>
  <c r="O34" i="23"/>
  <c r="L34" i="23"/>
  <c r="K34" i="23"/>
  <c r="I34" i="23"/>
  <c r="H34" i="23"/>
  <c r="P33" i="23"/>
  <c r="O33" i="23"/>
  <c r="L33" i="23"/>
  <c r="K33" i="23"/>
  <c r="I33" i="23"/>
  <c r="H33" i="23"/>
  <c r="P32" i="23"/>
  <c r="O32" i="23"/>
  <c r="L32" i="23"/>
  <c r="K32" i="23"/>
  <c r="I32" i="23"/>
  <c r="H32" i="23"/>
  <c r="P31" i="23"/>
  <c r="O31" i="23"/>
  <c r="L31" i="23"/>
  <c r="K31" i="23"/>
  <c r="I31" i="23"/>
  <c r="H31" i="23"/>
  <c r="P30" i="23"/>
  <c r="O30" i="23"/>
  <c r="L30" i="23"/>
  <c r="K30" i="23"/>
  <c r="I30" i="23"/>
  <c r="H30" i="23"/>
  <c r="P29" i="23"/>
  <c r="O29" i="23"/>
  <c r="L29" i="23"/>
  <c r="K29" i="23"/>
  <c r="I29" i="23"/>
  <c r="H29" i="23"/>
  <c r="P28" i="23"/>
  <c r="O28" i="23"/>
  <c r="L28" i="23"/>
  <c r="K28" i="23"/>
  <c r="I28" i="23"/>
  <c r="H28" i="23"/>
  <c r="P27" i="23"/>
  <c r="O27" i="23"/>
  <c r="L27" i="23"/>
  <c r="K27" i="23"/>
  <c r="I27" i="23"/>
  <c r="H27" i="23"/>
  <c r="P26" i="23"/>
  <c r="O26" i="23"/>
  <c r="L26" i="23"/>
  <c r="K26" i="23"/>
  <c r="I26" i="23"/>
  <c r="H26" i="23"/>
  <c r="P25" i="23"/>
  <c r="O25" i="23"/>
  <c r="L25" i="23"/>
  <c r="K25" i="23"/>
  <c r="I25" i="23"/>
  <c r="H25" i="23"/>
  <c r="P24" i="23"/>
  <c r="O24" i="23"/>
  <c r="L24" i="23"/>
  <c r="K24" i="23"/>
  <c r="I24" i="23"/>
  <c r="H24" i="23"/>
  <c r="P23" i="23"/>
  <c r="O23" i="23"/>
  <c r="L23" i="23"/>
  <c r="K23" i="23"/>
  <c r="I23" i="23"/>
  <c r="H23" i="23"/>
  <c r="P22" i="23"/>
  <c r="O22" i="23"/>
  <c r="L22" i="23"/>
  <c r="K22" i="23"/>
  <c r="I22" i="23"/>
  <c r="H22" i="23"/>
  <c r="P21" i="23"/>
  <c r="O21" i="23"/>
  <c r="L21" i="23"/>
  <c r="K21" i="23"/>
  <c r="I21" i="23"/>
  <c r="H21" i="23"/>
  <c r="P20" i="23"/>
  <c r="O20" i="23"/>
  <c r="L20" i="23"/>
  <c r="K20" i="23"/>
  <c r="I20" i="23"/>
  <c r="H20" i="23"/>
  <c r="P19" i="23"/>
  <c r="O19" i="23"/>
  <c r="L19" i="23"/>
  <c r="K19" i="23"/>
  <c r="I19" i="23"/>
  <c r="H19" i="23"/>
  <c r="P18" i="23"/>
  <c r="O18" i="23"/>
  <c r="L18" i="23"/>
  <c r="K18" i="23"/>
  <c r="I18" i="23"/>
  <c r="H18" i="23"/>
  <c r="P17" i="23"/>
  <c r="O17" i="23"/>
  <c r="L17" i="23"/>
  <c r="K17" i="23"/>
  <c r="I17" i="23"/>
  <c r="H17" i="23"/>
  <c r="P16" i="23"/>
  <c r="O16" i="23"/>
  <c r="L16" i="23"/>
  <c r="K16" i="23"/>
  <c r="I16" i="23"/>
  <c r="H16" i="23"/>
  <c r="P15" i="23"/>
  <c r="O15" i="23"/>
  <c r="L15" i="23"/>
  <c r="K15" i="23"/>
  <c r="I15" i="23"/>
  <c r="H15" i="23"/>
  <c r="P14" i="23"/>
  <c r="O14" i="23"/>
  <c r="L14" i="23"/>
  <c r="K14" i="23"/>
  <c r="I14" i="23"/>
  <c r="H14" i="23"/>
  <c r="P13" i="23"/>
  <c r="O13" i="23"/>
  <c r="L13" i="23"/>
  <c r="K13" i="23"/>
  <c r="I13" i="23"/>
  <c r="H13" i="23"/>
  <c r="P12" i="23"/>
  <c r="O12" i="23"/>
  <c r="L12" i="23"/>
  <c r="K12" i="23"/>
  <c r="I12" i="23"/>
  <c r="H12" i="23"/>
  <c r="P11" i="23"/>
  <c r="O11" i="23"/>
  <c r="L11" i="23"/>
  <c r="K11" i="23"/>
  <c r="I11" i="23"/>
  <c r="H11" i="23"/>
  <c r="P10" i="23"/>
  <c r="O10" i="23"/>
  <c r="L10" i="23"/>
  <c r="K10" i="23"/>
  <c r="I10" i="23"/>
  <c r="H10" i="23"/>
  <c r="P9" i="23"/>
  <c r="O9" i="23"/>
  <c r="L9" i="23"/>
  <c r="K9" i="23"/>
  <c r="I9" i="23"/>
  <c r="H9" i="23"/>
  <c r="P8" i="23"/>
  <c r="O8" i="23"/>
  <c r="L8" i="23"/>
  <c r="K8" i="23"/>
  <c r="I8" i="23"/>
  <c r="H8" i="23"/>
  <c r="P7" i="23"/>
  <c r="O7" i="23"/>
  <c r="L7" i="23"/>
  <c r="K7" i="23"/>
  <c r="I7" i="23"/>
  <c r="H7" i="23"/>
  <c r="P6" i="23"/>
  <c r="O6" i="23"/>
  <c r="L6" i="23"/>
  <c r="K6" i="23"/>
  <c r="I6" i="23"/>
  <c r="H6" i="23"/>
  <c r="P5" i="23"/>
  <c r="O5" i="23"/>
  <c r="L5" i="23"/>
  <c r="K5" i="23"/>
  <c r="I5" i="23"/>
  <c r="H5" i="23"/>
  <c r="P4" i="23"/>
  <c r="O4" i="23"/>
  <c r="L4" i="23"/>
  <c r="K4" i="23"/>
  <c r="I4" i="23"/>
  <c r="H4" i="23"/>
  <c r="P3" i="23"/>
  <c r="O3" i="23"/>
  <c r="L3" i="23"/>
  <c r="K3" i="23"/>
  <c r="I3" i="23"/>
  <c r="H3" i="23"/>
  <c r="C26" i="22"/>
  <c r="C27" i="22" s="1"/>
  <c r="C25" i="22"/>
  <c r="C24" i="22"/>
  <c r="C23" i="22"/>
  <c r="C15" i="22"/>
  <c r="D13" i="22"/>
  <c r="C13" i="22"/>
  <c r="C6" i="22"/>
</calcChain>
</file>

<file path=xl/sharedStrings.xml><?xml version="1.0" encoding="utf-8"?>
<sst xmlns="http://schemas.openxmlformats.org/spreadsheetml/2006/main" count="166" uniqueCount="127">
  <si>
    <t>Year</t>
  </si>
  <si>
    <t>Total Defaults*</t>
  </si>
  <si>
    <t>Default rate(%)</t>
  </si>
  <si>
    <t>Total debt defaulting (bil. $)</t>
  </si>
  <si>
    <t>year t</t>
  </si>
  <si>
    <t>x</t>
  </si>
  <si>
    <t>wi</t>
  </si>
  <si>
    <t>Calculations for likelihood</t>
  </si>
  <si>
    <t>log Likelihood</t>
  </si>
  <si>
    <t>Data</t>
  </si>
  <si>
    <t>ML</t>
  </si>
  <si>
    <r>
      <t>N</t>
    </r>
    <r>
      <rPr>
        <vertAlign val="subscript"/>
        <sz val="10"/>
        <rFont val="Arial"/>
        <family val="2"/>
      </rPr>
      <t>It</t>
    </r>
  </si>
  <si>
    <r>
      <t>N</t>
    </r>
    <r>
      <rPr>
        <vertAlign val="subscript"/>
        <sz val="10"/>
        <rFont val="Arial"/>
        <family val="2"/>
      </rPr>
      <t>St</t>
    </r>
  </si>
  <si>
    <r>
      <t>lnL</t>
    </r>
    <r>
      <rPr>
        <vertAlign val="subscript"/>
        <sz val="10"/>
        <rFont val="Arial"/>
        <family val="2"/>
      </rPr>
      <t>t</t>
    </r>
  </si>
  <si>
    <r>
      <t>p</t>
    </r>
    <r>
      <rPr>
        <vertAlign val="subscript"/>
        <sz val="10"/>
        <rFont val="Arial"/>
        <family val="2"/>
      </rPr>
      <t>I</t>
    </r>
  </si>
  <si>
    <r>
      <t>p</t>
    </r>
    <r>
      <rPr>
        <vertAlign val="subscript"/>
        <sz val="10"/>
        <rFont val="Arial"/>
        <family val="2"/>
      </rPr>
      <t>S</t>
    </r>
  </si>
  <si>
    <t>MM</t>
  </si>
  <si>
    <t>default probability p</t>
  </si>
  <si>
    <t>asset correlation w²</t>
  </si>
  <si>
    <t>factor sensitivity w</t>
  </si>
  <si>
    <t>To be estimated</t>
  </si>
  <si>
    <t>ML (joint with spec grade)</t>
  </si>
  <si>
    <t>"=NORMSDIST((NORMSINV($B$2)-$B$3*G$2)/(1-$B$3^2)^0.5)"</t>
  </si>
  <si>
    <t>Z</t>
  </si>
  <si>
    <r>
      <t>D</t>
    </r>
    <r>
      <rPr>
        <vertAlign val="subscript"/>
        <sz val="10"/>
        <rFont val="Arial"/>
        <family val="2"/>
      </rPr>
      <t>It</t>
    </r>
  </si>
  <si>
    <t>lnL</t>
  </si>
  <si>
    <r>
      <t>p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(Z)</t>
    </r>
  </si>
  <si>
    <r>
      <t>p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(Z)</t>
    </r>
  </si>
  <si>
    <t>I6: =NORMSDIST((NORMSINV($B2)-$E$2*I$2)/(1-$E$2^2)^0.5)</t>
  </si>
  <si>
    <t>(can be copied to I6:AC7)</t>
  </si>
  <si>
    <t xml:space="preserve"> =SUM(G10:G38)</t>
  </si>
  <si>
    <r>
      <t>w</t>
    </r>
    <r>
      <rPr>
        <vertAlign val="subscript"/>
        <sz val="10"/>
        <rFont val="Arial"/>
        <family val="2"/>
      </rPr>
      <t>I</t>
    </r>
  </si>
  <si>
    <r>
      <t>w</t>
    </r>
    <r>
      <rPr>
        <vertAlign val="subscript"/>
        <sz val="10"/>
        <rFont val="Arial"/>
        <family val="2"/>
      </rPr>
      <t>S</t>
    </r>
  </si>
  <si>
    <t>I10: =EXP(lncombin($B10,$C10)+LN(I$6)*$C10+LN(1-I$6)*($B10-$C10)+lncombin($D10,$E10)+LN(I$7)*$E10+LN(1-I$7)*($D10-$E10))</t>
  </si>
  <si>
    <t>(can be copied to I10:AC38)</t>
  </si>
  <si>
    <t>w(x)exp(x²)</t>
  </si>
  <si>
    <t>Gauss-Hermite</t>
  </si>
  <si>
    <t>Exact</t>
  </si>
  <si>
    <t>E[exp(x)]</t>
  </si>
  <si>
    <t>Example: Evaluate E[exp(x)] if x is N(0,1)</t>
  </si>
  <si>
    <t>H7: =EXP(0+1^2/2)</t>
  </si>
  <si>
    <t>H8: =SUMPRODUCT(E2:E33,C2:C33)</t>
  </si>
  <si>
    <r>
      <t>w(Z)exp(Z²)</t>
    </r>
    <r>
      <rPr>
        <sz val="10"/>
        <rFont val="Symbol"/>
        <family val="1"/>
        <charset val="2"/>
      </rPr>
      <t>f</t>
    </r>
    <r>
      <rPr>
        <sz val="10"/>
        <rFont val="Arial"/>
        <family val="2"/>
      </rPr>
      <t>(Z)</t>
    </r>
  </si>
  <si>
    <t>32-order approximation for Z (Gauss-Hermite)</t>
  </si>
  <si>
    <t>Global Corporate Default Summary</t>
  </si>
  <si>
    <t>Investment-grade defaults</t>
  </si>
  <si>
    <t>Speculative-grade defaults</t>
  </si>
  <si>
    <t>Investment-grade default rate (%)</t>
  </si>
  <si>
    <t>Speculative-grade default rate (%)</t>
  </si>
  <si>
    <t>Jan. 1 investment grade (number)</t>
  </si>
  <si>
    <t>Jan. 1 speculative grade (number)</t>
  </si>
  <si>
    <t>(a)</t>
    <phoneticPr fontId="16" type="noConversion"/>
  </si>
  <si>
    <t>Default Prob</t>
    <phoneticPr fontId="16" type="noConversion"/>
  </si>
  <si>
    <t>Borrower1</t>
    <phoneticPr fontId="16" type="noConversion"/>
  </si>
  <si>
    <t>Borrower2</t>
    <phoneticPr fontId="16" type="noConversion"/>
  </si>
  <si>
    <t>Joint Default Prob</t>
    <phoneticPr fontId="16" type="noConversion"/>
  </si>
  <si>
    <t xml:space="preserve">Borrower1 and Borrower2 </t>
    <phoneticPr fontId="16" type="noConversion"/>
  </si>
  <si>
    <t>Default Correlation</t>
    <phoneticPr fontId="16" type="noConversion"/>
  </si>
  <si>
    <t>(b)</t>
    <phoneticPr fontId="16" type="noConversion"/>
  </si>
  <si>
    <t xml:space="preserve">No. of Borrower </t>
    <phoneticPr fontId="16" type="noConversion"/>
  </si>
  <si>
    <t>Independent Default Probability</t>
    <phoneticPr fontId="16" type="noConversion"/>
  </si>
  <si>
    <t>X</t>
    <phoneticPr fontId="16" type="noConversion"/>
  </si>
  <si>
    <t>Non-Default</t>
    <phoneticPr fontId="16" type="noConversion"/>
  </si>
  <si>
    <t>Default</t>
    <phoneticPr fontId="16" type="noConversion"/>
  </si>
  <si>
    <t>P(k)</t>
    <phoneticPr fontId="16" type="noConversion"/>
  </si>
  <si>
    <t>Prob. of 1 default</t>
    <phoneticPr fontId="16" type="noConversion"/>
  </si>
  <si>
    <t>(c)</t>
    <phoneticPr fontId="16" type="noConversion"/>
  </si>
  <si>
    <t>Asset Value Model</t>
    <phoneticPr fontId="16" type="noConversion"/>
  </si>
  <si>
    <t>Asset Corrrelation (ρ)</t>
    <phoneticPr fontId="16" type="noConversion"/>
  </si>
  <si>
    <t>factor (z)</t>
    <phoneticPr fontId="16" type="noConversion"/>
  </si>
  <si>
    <t>idiosyncratic （ε)</t>
    <phoneticPr fontId="16" type="noConversion"/>
  </si>
  <si>
    <t>Prob. Of Default</t>
    <phoneticPr fontId="16" type="noConversion"/>
  </si>
  <si>
    <t>w</t>
    <phoneticPr fontId="16" type="noConversion"/>
  </si>
  <si>
    <t>1-w^2</t>
    <phoneticPr fontId="16" type="noConversion"/>
  </si>
  <si>
    <t>d</t>
    <phoneticPr fontId="16" type="noConversion"/>
  </si>
  <si>
    <t>A</t>
    <phoneticPr fontId="16" type="noConversion"/>
  </si>
  <si>
    <t>C23*C20+C24*C21</t>
  </si>
  <si>
    <t>A&lt;=d?</t>
    <phoneticPr fontId="16" type="noConversion"/>
  </si>
  <si>
    <t>IF(C26&lt;=C25,TRUE,FALSE)</t>
  </si>
  <si>
    <t>The borrower does not default in this scenario.</t>
    <phoneticPr fontId="16" type="noConversion"/>
  </si>
  <si>
    <t>Investment-grade (D(D-1))/(N(N-1)) (%)</t>
    <phoneticPr fontId="16" type="noConversion"/>
  </si>
  <si>
    <t>Speculative-grade (D(D-1))/(N(N-1)) (%)</t>
    <phoneticPr fontId="16" type="noConversion"/>
  </si>
  <si>
    <t xml:space="preserve">Investment Grade Rating with Drawn </t>
    <phoneticPr fontId="16" type="noConversion"/>
  </si>
  <si>
    <t xml:space="preserve">Speculative Grade Rating with Drawn </t>
    <phoneticPr fontId="16" type="noConversion"/>
  </si>
  <si>
    <t>Investment Rating withdrawn (%)</t>
    <phoneticPr fontId="16" type="noConversion"/>
  </si>
  <si>
    <t>Speculative Rating withdrawn (%)</t>
    <phoneticPr fontId="16" type="noConversion"/>
  </si>
  <si>
    <t xml:space="preserve"> Individual default probability of investment grade </t>
    <phoneticPr fontId="16" type="noConversion"/>
  </si>
  <si>
    <t xml:space="preserve"> Individual default probability of Speculative grade </t>
    <phoneticPr fontId="16" type="noConversion"/>
  </si>
  <si>
    <t xml:space="preserve">Joint default probability of investment grade </t>
    <phoneticPr fontId="16" type="noConversion"/>
  </si>
  <si>
    <t xml:space="preserve">Joint default probability of Speculative grade </t>
    <phoneticPr fontId="16" type="noConversion"/>
  </si>
  <si>
    <t>Default Threashold of Investment Grade</t>
    <phoneticPr fontId="16" type="noConversion"/>
  </si>
  <si>
    <t>Default Threashold of Speculative Grade</t>
    <phoneticPr fontId="16" type="noConversion"/>
  </si>
  <si>
    <t xml:space="preserve">Assumed Joint default probability of investment grade </t>
    <phoneticPr fontId="16" type="noConversion"/>
  </si>
  <si>
    <t>Asset Correlation of Investment Grade</t>
    <phoneticPr fontId="16" type="noConversion"/>
  </si>
  <si>
    <t>Asset Correlation of Speculative Grade</t>
    <phoneticPr fontId="16" type="noConversion"/>
  </si>
  <si>
    <t>{=(C5-C3*C2)/SQRT(C2*C3*(1-C3)*(1-C2))}</t>
    <phoneticPr fontId="15" type="noConversion"/>
  </si>
  <si>
    <t>{=BINOM.DIST(1,1000,0.01,FALSE)}</t>
    <phoneticPr fontId="15" type="noConversion"/>
  </si>
  <si>
    <t>{NORM.INV(C22,0,1)}</t>
    <phoneticPr fontId="16" type="noConversion"/>
  </si>
  <si>
    <t>c</t>
    <phoneticPr fontId="15" type="noConversion"/>
  </si>
  <si>
    <t>a</t>
    <phoneticPr fontId="15" type="noConversion"/>
  </si>
  <si>
    <t>b</t>
    <phoneticPr fontId="15" type="noConversion"/>
  </si>
  <si>
    <t>Solver or Goal Seek</t>
    <phoneticPr fontId="15" type="noConversion"/>
  </si>
  <si>
    <t>32-order approximation for Z (Gauss-Hermite)</t>
    <phoneticPr fontId="7" type="noConversion"/>
  </si>
  <si>
    <r>
      <t>Z</t>
    </r>
    <r>
      <rPr>
        <sz val="10"/>
        <rFont val="Arial"/>
        <family val="2"/>
      </rPr>
      <t>(evaluated integral)</t>
    </r>
    <phoneticPr fontId="7" type="noConversion"/>
  </si>
  <si>
    <r>
      <t>w(Z)exp(Z²)</t>
    </r>
    <r>
      <rPr>
        <sz val="10"/>
        <rFont val="Symbol"/>
        <family val="1"/>
        <charset val="2"/>
      </rPr>
      <t>f</t>
    </r>
    <r>
      <rPr>
        <sz val="10"/>
        <rFont val="Arial"/>
        <family val="2"/>
      </rPr>
      <t>(Z)--(weights used in the numerical integration)</t>
    </r>
    <phoneticPr fontId="7" type="noConversion"/>
  </si>
  <si>
    <t>From the table"Discrete Distribution"</t>
    <phoneticPr fontId="7" type="noConversion"/>
  </si>
  <si>
    <t>log Likelihood (overall likelihhod)</t>
    <phoneticPr fontId="7" type="noConversion"/>
  </si>
  <si>
    <t>Pi(Z)</t>
    <phoneticPr fontId="7" type="noConversion"/>
  </si>
  <si>
    <t>Number of obligators</t>
    <phoneticPr fontId="7" type="noConversion"/>
  </si>
  <si>
    <t>Defaults</t>
    <phoneticPr fontId="7" type="noConversion"/>
  </si>
  <si>
    <r>
      <t>lnL</t>
    </r>
    <r>
      <rPr>
        <b/>
        <vertAlign val="subscript"/>
        <sz val="10"/>
        <rFont val="Arial"/>
        <family val="2"/>
      </rPr>
      <t>It -</t>
    </r>
    <r>
      <rPr>
        <b/>
        <vertAlign val="subscript"/>
        <sz val="11"/>
        <rFont val="Arial"/>
        <family val="2"/>
      </rPr>
      <t xml:space="preserve"> log of the weighted sum of probabilities</t>
    </r>
    <phoneticPr fontId="7" type="noConversion"/>
  </si>
  <si>
    <t>Binomial Probabilities for a given Z and a given year</t>
    <phoneticPr fontId="7" type="noConversion"/>
  </si>
  <si>
    <t>LN(SUMPRODUCT(G10:AL10,G$3:AL$3))</t>
  </si>
  <si>
    <r>
      <t>w(x)exp(x²)</t>
    </r>
    <r>
      <rPr>
        <b/>
        <sz val="11"/>
        <rFont val="Symbol"/>
        <family val="1"/>
        <charset val="2"/>
      </rPr>
      <t>f</t>
    </r>
    <r>
      <rPr>
        <b/>
        <sz val="11"/>
        <rFont val="Arial"/>
        <family val="2"/>
      </rPr>
      <t>(x)--Weight</t>
    </r>
    <phoneticPr fontId="7" type="noConversion"/>
  </si>
  <si>
    <r>
      <rPr>
        <sz val="10"/>
        <rFont val="Century Gothic"/>
        <family val="2"/>
      </rPr>
      <t>►</t>
    </r>
    <r>
      <rPr>
        <sz val="10"/>
        <rFont val="Arial"/>
        <family val="2"/>
      </rPr>
      <t xml:space="preserve"> </t>
    </r>
    <r>
      <rPr>
        <sz val="10"/>
        <rFont val="Arial"/>
        <family val="2"/>
      </rPr>
      <t>For this book, we will suggest a</t>
    </r>
    <r>
      <rPr>
        <b/>
        <sz val="10"/>
        <rFont val="Arial"/>
        <family val="2"/>
      </rPr>
      <t xml:space="preserve"> non-standard numerical solution</t>
    </r>
    <r>
      <rPr>
        <sz val="10"/>
        <rFont val="Arial"/>
        <family val="2"/>
      </rPr>
      <t xml:space="preserve"> because our primary</t>
    </r>
    <r>
      <rPr>
        <sz val="10"/>
        <rFont val="Arial"/>
        <family val="2"/>
      </rPr>
      <t xml:space="preserve"> </t>
    </r>
    <r>
      <rPr>
        <sz val="10"/>
        <rFont val="Arial"/>
        <family val="2"/>
      </rPr>
      <t>goal is to present a solution that helps us to understand the estimation principle by giving</t>
    </r>
    <r>
      <rPr>
        <sz val="10"/>
        <rFont val="Arial"/>
        <family val="2"/>
      </rPr>
      <t xml:space="preserve"> </t>
    </r>
    <r>
      <rPr>
        <sz val="10"/>
        <rFont val="Arial"/>
        <family val="2"/>
      </rPr>
      <t>nice visual correspondences between the likelihood functions and the functions</t>
    </r>
    <r>
      <rPr>
        <sz val="10"/>
        <rFont val="Arial"/>
        <family val="2"/>
      </rPr>
      <t xml:space="preserve"> </t>
    </r>
    <r>
      <rPr>
        <sz val="10"/>
        <rFont val="Arial"/>
        <family val="2"/>
      </rPr>
      <t>we enter in</t>
    </r>
    <r>
      <rPr>
        <sz val="10"/>
        <rFont val="Arial"/>
        <family val="2"/>
      </rPr>
      <t xml:space="preserve"> Excel.                         </t>
    </r>
    <r>
      <rPr>
        <sz val="10"/>
        <rFont val="Century Gothic"/>
        <family val="2"/>
      </rPr>
      <t xml:space="preserve">► </t>
    </r>
    <r>
      <rPr>
        <sz val="10"/>
        <rFont val="Arial"/>
        <family val="2"/>
      </rPr>
      <t xml:space="preserve">Our proposal is to </t>
    </r>
    <r>
      <rPr>
        <b/>
        <sz val="10"/>
        <color rgb="FFFF0000"/>
        <rFont val="Arial"/>
        <family val="2"/>
      </rPr>
      <t>approximate the standard normal distribution of Z by a discrete distribution</t>
    </r>
    <r>
      <rPr>
        <sz val="10"/>
        <rFont val="Arial"/>
        <family val="2"/>
      </rPr>
      <t>. Then the integral over Z will be a sum. Based on this, we can directly calculate likelihood functions and then use the Solver to maximize them.</t>
    </r>
    <phoneticPr fontId="7" type="noConversion"/>
  </si>
  <si>
    <r>
      <rPr>
        <sz val="10"/>
        <rFont val="Century Gothic"/>
        <family val="2"/>
      </rPr>
      <t>►</t>
    </r>
    <r>
      <rPr>
        <sz val="10"/>
        <rFont val="Arial"/>
        <family val="2"/>
      </rPr>
      <t xml:space="preserve"> </t>
    </r>
    <r>
      <rPr>
        <sz val="10"/>
        <rFont val="Arial"/>
        <family val="2"/>
      </rPr>
      <t xml:space="preserve">We used the </t>
    </r>
    <r>
      <rPr>
        <b/>
        <sz val="10"/>
        <rFont val="Arial"/>
        <family val="2"/>
      </rPr>
      <t>Solver</t>
    </r>
    <r>
      <rPr>
        <sz val="10"/>
        <rFont val="Arial"/>
        <family val="2"/>
      </rPr>
      <t xml:space="preserve"> to determine </t>
    </r>
    <r>
      <rPr>
        <sz val="10"/>
        <rFont val="Arial"/>
        <family val="2"/>
      </rPr>
      <t>32</t>
    </r>
    <r>
      <rPr>
        <sz val="10"/>
        <rFont val="Arial"/>
        <family val="2"/>
      </rPr>
      <t xml:space="preserve"> points</t>
    </r>
    <r>
      <rPr>
        <sz val="10"/>
        <rFont val="Arial"/>
        <family val="2"/>
      </rPr>
      <t xml:space="preserve"> </t>
    </r>
    <r>
      <rPr>
        <sz val="10"/>
        <rFont val="Arial"/>
        <family val="2"/>
      </rPr>
      <t>and associated probabilities such that this discrete distribution matches the first 10 moments</t>
    </r>
    <r>
      <rPr>
        <sz val="10"/>
        <rFont val="Arial"/>
        <family val="2"/>
      </rPr>
      <t xml:space="preserve"> </t>
    </r>
    <r>
      <rPr>
        <sz val="10"/>
        <rFont val="Arial"/>
        <family val="2"/>
      </rPr>
      <t xml:space="preserve">of the standard normal distribution. The number </t>
    </r>
    <r>
      <rPr>
        <sz val="10"/>
        <rFont val="Arial"/>
        <family val="2"/>
      </rPr>
      <t>32</t>
    </r>
    <r>
      <rPr>
        <sz val="10"/>
        <rFont val="Arial"/>
        <family val="2"/>
      </rPr>
      <t xml:space="preserve"> was chosen after some experimentation</t>
    </r>
    <r>
      <rPr>
        <sz val="10"/>
        <rFont val="Arial"/>
        <family val="2"/>
      </rPr>
      <t xml:space="preserve"> </t>
    </r>
    <r>
      <rPr>
        <sz val="10"/>
        <rFont val="Arial"/>
        <family val="2"/>
      </rPr>
      <t>with a smaller number of points, which did not seem to provide sufficient accuracy for the</t>
    </r>
    <r>
      <rPr>
        <sz val="10"/>
        <rFont val="Arial"/>
        <family val="2"/>
      </rPr>
      <t xml:space="preserve"> </t>
    </r>
    <r>
      <rPr>
        <sz val="10"/>
        <rFont val="Arial"/>
        <family val="2"/>
      </rPr>
      <t>problem at hand.</t>
    </r>
    <phoneticPr fontId="7" type="noConversion"/>
  </si>
  <si>
    <r>
      <t>If we use</t>
    </r>
    <r>
      <rPr>
        <b/>
        <sz val="10"/>
        <rFont val="Arial"/>
        <family val="2"/>
      </rPr>
      <t xml:space="preserve"> X</t>
    </r>
    <r>
      <rPr>
        <sz val="10"/>
        <rFont val="Arial"/>
        <family val="2"/>
      </rPr>
      <t xml:space="preserve"> and </t>
    </r>
    <r>
      <rPr>
        <b/>
        <sz val="10"/>
        <rFont val="Arial"/>
        <family val="2"/>
      </rPr>
      <t xml:space="preserve">w(x)exp(x²)f(x) </t>
    </r>
    <r>
      <rPr>
        <sz val="10"/>
        <rFont val="Arial"/>
        <family val="2"/>
      </rPr>
      <t>to plot</t>
    </r>
    <phoneticPr fontId="7" type="noConversion"/>
  </si>
  <si>
    <t>Sum</t>
    <phoneticPr fontId="7" type="noConversion"/>
  </si>
  <si>
    <t xml:space="preserve"> =SUM(E10:E41)</t>
    <phoneticPr fontId="15" type="noConversion"/>
  </si>
  <si>
    <t>Binomial Probabilities (joint probability since we assume defaults in both obligor groups are driven by the same factor Z)</t>
    <phoneticPr fontId="7" type="noConversion"/>
  </si>
  <si>
    <r>
      <t>D</t>
    </r>
    <r>
      <rPr>
        <vertAlign val="subscript"/>
        <sz val="10"/>
        <rFont val="Arial"/>
        <family val="2"/>
      </rPr>
      <t>St</t>
    </r>
    <phoneticPr fontId="15" type="noConversion"/>
  </si>
  <si>
    <t>ML</t>
    <phoneticPr fontId="15" type="noConversion"/>
  </si>
  <si>
    <t>MM</t>
    <phoneticPr fontId="15" type="noConversion"/>
  </si>
  <si>
    <t>Investment Grade</t>
    <phoneticPr fontId="15" type="noConversion"/>
  </si>
  <si>
    <t>Speculative Grade</t>
    <phoneticPr fontId="15" type="noConversion"/>
  </si>
  <si>
    <t>Both Grades</t>
    <phoneticPr fontId="15" type="noConversion"/>
  </si>
  <si>
    <t>default probability p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</si>
</sst>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0.0000%"/>
    <numFmt numFmtId="180" formatCode="0.0000"/>
    <numFmt numFmtId="181" formatCode="0.000%"/>
    <numFmt numFmtId="182" formatCode="0.00000%"/>
    <numFmt numFmtId="183" formatCode="0.00000000"/>
    <numFmt numFmtId="184" formatCode="0.000000"/>
    <numFmt numFmtId="185" formatCode="0.00000"/>
    <numFmt numFmtId="186" formatCode="0.000"/>
    <numFmt numFmtId="187" formatCode="0.000000000"/>
    <numFmt numFmtId="188" formatCode="0.0000E+00"/>
    <numFmt numFmtId="189" formatCode="0.000E+00"/>
    <numFmt numFmtId="190" formatCode="0.0E+00"/>
    <numFmt numFmtId="191" formatCode="0.00000000000000%"/>
    <numFmt numFmtId="192" formatCode="0.000000000000"/>
    <numFmt numFmtId="194" formatCode="0.00000000000000000"/>
    <numFmt numFmtId="195" formatCode="0.00_ "/>
    <numFmt numFmtId="210" formatCode="0.00000000%"/>
  </numFmts>
  <fonts count="30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9.5"/>
      <name val="TimesNewRoman"/>
    </font>
    <font>
      <sz val="8.5"/>
      <name val="Arial"/>
      <family val="2"/>
    </font>
    <font>
      <vertAlign val="subscript"/>
      <sz val="1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Symbol"/>
      <family val="1"/>
      <charset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b/>
      <sz val="9"/>
      <name val="Arial"/>
      <family val="2"/>
    </font>
    <font>
      <sz val="11"/>
      <color rgb="FF0061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8.5"/>
      <name val="Arial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8"/>
      <color theme="1"/>
      <name val="Times New Roman"/>
      <family val="1"/>
    </font>
    <font>
      <b/>
      <sz val="8"/>
      <color rgb="FF00B050"/>
      <name val="Times New Roman"/>
      <family val="1"/>
    </font>
    <font>
      <b/>
      <vertAlign val="subscript"/>
      <sz val="10"/>
      <name val="Arial"/>
      <family val="2"/>
    </font>
    <font>
      <b/>
      <vertAlign val="subscript"/>
      <sz val="11"/>
      <name val="Arial"/>
      <family val="2"/>
    </font>
    <font>
      <b/>
      <sz val="11"/>
      <name val="Arial"/>
      <family val="2"/>
    </font>
    <font>
      <b/>
      <sz val="11"/>
      <name val="Symbol"/>
      <family val="1"/>
      <charset val="2"/>
    </font>
    <font>
      <sz val="10"/>
      <name val="Century Gothic"/>
      <family val="2"/>
    </font>
    <font>
      <b/>
      <sz val="10"/>
      <color rgb="FFFF0000"/>
      <name val="Arial"/>
      <family val="2"/>
    </font>
    <font>
      <sz val="10"/>
      <color rgb="FF00B050"/>
      <name val="Arial"/>
      <family val="2"/>
    </font>
    <font>
      <b/>
      <sz val="10"/>
      <color rgb="FF00B05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3" fillId="4" borderId="0" applyNumberFormat="0" applyBorder="0" applyAlignment="0" applyProtection="0">
      <alignment vertical="center"/>
    </xf>
  </cellStyleXfs>
  <cellXfs count="132">
    <xf numFmtId="0" fontId="0" fillId="0" borderId="0" xfId="0"/>
    <xf numFmtId="0" fontId="2" fillId="0" borderId="0" xfId="0" applyFont="1"/>
    <xf numFmtId="176" fontId="0" fillId="0" borderId="0" xfId="1" applyNumberFormat="1" applyFont="1"/>
    <xf numFmtId="0" fontId="1" fillId="0" borderId="0" xfId="0" applyFont="1"/>
    <xf numFmtId="180" fontId="0" fillId="0" borderId="0" xfId="0" applyNumberFormat="1"/>
    <xf numFmtId="176" fontId="0" fillId="0" borderId="0" xfId="0" applyNumberFormat="1"/>
    <xf numFmtId="1" fontId="0" fillId="0" borderId="0" xfId="0" applyNumberFormat="1"/>
    <xf numFmtId="181" fontId="0" fillId="0" borderId="0" xfId="1" applyNumberFormat="1" applyFont="1"/>
    <xf numFmtId="10" fontId="0" fillId="0" borderId="0" xfId="1" applyNumberFormat="1" applyFont="1"/>
    <xf numFmtId="2" fontId="2" fillId="0" borderId="0" xfId="0" applyNumberFormat="1" applyFont="1"/>
    <xf numFmtId="182" fontId="0" fillId="0" borderId="0" xfId="1" applyNumberFormat="1" applyFont="1"/>
    <xf numFmtId="10" fontId="0" fillId="0" borderId="0" xfId="1" applyNumberFormat="1" applyFont="1" applyAlignment="1">
      <alignment horizontal="right"/>
    </xf>
    <xf numFmtId="180" fontId="1" fillId="0" borderId="0" xfId="0" applyNumberFormat="1" applyFont="1"/>
    <xf numFmtId="176" fontId="2" fillId="0" borderId="0" xfId="0" applyNumberFormat="1" applyFont="1"/>
    <xf numFmtId="176" fontId="2" fillId="0" borderId="0" xfId="1" applyNumberFormat="1" applyFont="1"/>
    <xf numFmtId="184" fontId="1" fillId="0" borderId="0" xfId="0" applyNumberFormat="1" applyFont="1"/>
    <xf numFmtId="185" fontId="1" fillId="0" borderId="0" xfId="0" applyNumberFormat="1" applyFont="1"/>
    <xf numFmtId="10" fontId="0" fillId="0" borderId="0" xfId="0" applyNumberFormat="1"/>
    <xf numFmtId="2" fontId="1" fillId="0" borderId="0" xfId="0" applyNumberFormat="1" applyFont="1"/>
    <xf numFmtId="2" fontId="0" fillId="0" borderId="0" xfId="0" applyNumberFormat="1"/>
    <xf numFmtId="181" fontId="0" fillId="0" borderId="0" xfId="0" applyNumberFormat="1"/>
    <xf numFmtId="188" fontId="1" fillId="0" borderId="0" xfId="0" applyNumberFormat="1" applyFont="1"/>
    <xf numFmtId="186" fontId="0" fillId="0" borderId="0" xfId="0" applyNumberFormat="1"/>
    <xf numFmtId="191" fontId="0" fillId="0" borderId="0" xfId="0" applyNumberFormat="1"/>
    <xf numFmtId="9" fontId="0" fillId="0" borderId="0" xfId="1" applyFont="1"/>
    <xf numFmtId="181" fontId="0" fillId="0" borderId="0" xfId="0" applyNumberFormat="1" applyAlignment="1">
      <alignment horizontal="center"/>
    </xf>
    <xf numFmtId="0" fontId="8" fillId="0" borderId="0" xfId="0" applyFont="1"/>
    <xf numFmtId="182" fontId="1" fillId="0" borderId="0" xfId="1" applyNumberFormat="1"/>
    <xf numFmtId="10" fontId="1" fillId="0" borderId="0" xfId="1" applyNumberFormat="1"/>
    <xf numFmtId="181" fontId="1" fillId="0" borderId="0" xfId="1" applyNumberFormat="1"/>
    <xf numFmtId="0" fontId="0" fillId="0" borderId="0" xfId="0" applyAlignment="1">
      <alignment wrapText="1"/>
    </xf>
    <xf numFmtId="183" fontId="0" fillId="0" borderId="0" xfId="0" applyNumberFormat="1"/>
    <xf numFmtId="186" fontId="1" fillId="0" borderId="0" xfId="0" applyNumberFormat="1" applyFont="1"/>
    <xf numFmtId="0" fontId="0" fillId="0" borderId="0" xfId="0" applyAlignment="1">
      <alignment horizontal="right"/>
    </xf>
    <xf numFmtId="192" fontId="0" fillId="0" borderId="0" xfId="0" applyNumberFormat="1"/>
    <xf numFmtId="187" fontId="0" fillId="0" borderId="0" xfId="0" applyNumberFormat="1"/>
    <xf numFmtId="189" fontId="0" fillId="0" borderId="0" xfId="0" applyNumberFormat="1"/>
    <xf numFmtId="189" fontId="0" fillId="0" borderId="0" xfId="1" applyNumberFormat="1" applyFont="1"/>
    <xf numFmtId="0" fontId="10" fillId="0" borderId="0" xfId="0" applyFont="1"/>
    <xf numFmtId="194" fontId="0" fillId="0" borderId="0" xfId="0" applyNumberFormat="1"/>
    <xf numFmtId="0" fontId="12" fillId="3" borderId="0" xfId="0" applyFont="1" applyFill="1" applyAlignment="1">
      <alignment horizontal="center" wrapText="1"/>
    </xf>
    <xf numFmtId="0" fontId="12" fillId="3" borderId="0" xfId="0" applyFont="1" applyFill="1" applyAlignment="1">
      <alignment horizontal="right" wrapText="1"/>
    </xf>
    <xf numFmtId="0" fontId="12" fillId="3" borderId="1" xfId="0" applyFont="1" applyFill="1" applyBorder="1" applyAlignment="1">
      <alignment horizontal="center" wrapText="1"/>
    </xf>
    <xf numFmtId="0" fontId="3" fillId="3" borderId="2" xfId="0" applyFont="1" applyFill="1" applyBorder="1" applyAlignment="1">
      <alignment horizontal="center" vertical="top" wrapText="1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13" fillId="4" borderId="0" xfId="2" applyAlignment="1">
      <alignment horizontal="center" vertical="center"/>
    </xf>
    <xf numFmtId="195" fontId="13" fillId="4" borderId="0" xfId="2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7" xfId="0" applyNumberFormat="1" applyBorder="1" applyAlignment="1">
      <alignment horizontal="center" vertical="center"/>
    </xf>
    <xf numFmtId="0" fontId="13" fillId="4" borderId="4" xfId="2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95" fontId="0" fillId="0" borderId="0" xfId="0" applyNumberFormat="1" applyAlignment="1">
      <alignment horizontal="center" vertical="center"/>
    </xf>
    <xf numFmtId="195" fontId="14" fillId="0" borderId="0" xfId="0" applyNumberFormat="1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3" borderId="8" xfId="0" applyFont="1" applyFill="1" applyBorder="1" applyAlignment="1">
      <alignment horizontal="center" wrapText="1"/>
    </xf>
    <xf numFmtId="0" fontId="12" fillId="3" borderId="9" xfId="0" applyFont="1" applyFill="1" applyBorder="1" applyAlignment="1">
      <alignment horizontal="center" wrapText="1"/>
    </xf>
    <xf numFmtId="2" fontId="17" fillId="3" borderId="10" xfId="0" applyNumberFormat="1" applyFont="1" applyFill="1" applyBorder="1" applyAlignment="1">
      <alignment horizontal="center" vertical="top" wrapText="1"/>
    </xf>
    <xf numFmtId="2" fontId="17" fillId="3" borderId="11" xfId="0" applyNumberFormat="1" applyFont="1" applyFill="1" applyBorder="1" applyAlignment="1">
      <alignment horizontal="center" vertical="top" wrapText="1"/>
    </xf>
    <xf numFmtId="0" fontId="4" fillId="3" borderId="2" xfId="0" applyFont="1" applyFill="1" applyBorder="1" applyAlignment="1">
      <alignment horizontal="center" vertical="top" wrapText="1"/>
    </xf>
    <xf numFmtId="3" fontId="0" fillId="3" borderId="2" xfId="0" applyNumberFormat="1" applyFill="1" applyBorder="1" applyAlignment="1">
      <alignment horizontal="center"/>
    </xf>
    <xf numFmtId="0" fontId="4" fillId="3" borderId="12" xfId="0" applyFont="1" applyFill="1" applyBorder="1" applyAlignment="1">
      <alignment horizontal="center" vertical="top" wrapText="1"/>
    </xf>
    <xf numFmtId="0" fontId="4" fillId="3" borderId="10" xfId="0" applyFont="1" applyFill="1" applyBorder="1" applyAlignment="1">
      <alignment horizontal="center" vertical="top" wrapText="1"/>
    </xf>
    <xf numFmtId="2" fontId="4" fillId="3" borderId="2" xfId="0" applyNumberFormat="1" applyFont="1" applyFill="1" applyBorder="1" applyAlignment="1">
      <alignment horizontal="center" vertical="top" wrapText="1"/>
    </xf>
    <xf numFmtId="2" fontId="4" fillId="3" borderId="12" xfId="0" applyNumberFormat="1" applyFont="1" applyFill="1" applyBorder="1" applyAlignment="1">
      <alignment horizontal="center" vertical="top" wrapText="1"/>
    </xf>
    <xf numFmtId="2" fontId="4" fillId="3" borderId="10" xfId="0" applyNumberFormat="1" applyFont="1" applyFill="1" applyBorder="1" applyAlignment="1">
      <alignment horizontal="center" vertical="top" wrapText="1"/>
    </xf>
    <xf numFmtId="2" fontId="4" fillId="3" borderId="11" xfId="0" applyNumberFormat="1" applyFont="1" applyFill="1" applyBorder="1" applyAlignment="1">
      <alignment horizontal="center" vertical="top" wrapText="1"/>
    </xf>
    <xf numFmtId="0" fontId="3" fillId="3" borderId="10" xfId="0" applyFont="1" applyFill="1" applyBorder="1" applyAlignment="1">
      <alignment horizontal="center" vertical="top" wrapText="1"/>
    </xf>
    <xf numFmtId="0" fontId="3" fillId="3" borderId="12" xfId="0" applyFont="1" applyFill="1" applyBorder="1" applyAlignment="1">
      <alignment horizontal="center" vertical="top" wrapText="1"/>
    </xf>
    <xf numFmtId="0" fontId="3" fillId="3" borderId="11" xfId="0" applyFont="1" applyFill="1" applyBorder="1" applyAlignment="1">
      <alignment horizontal="center" vertical="top" wrapText="1"/>
    </xf>
    <xf numFmtId="0" fontId="20" fillId="0" borderId="0" xfId="0" applyFont="1" applyAlignment="1">
      <alignment vertical="center"/>
    </xf>
    <xf numFmtId="210" fontId="18" fillId="0" borderId="14" xfId="0" applyNumberFormat="1" applyFont="1" applyBorder="1" applyAlignment="1">
      <alignment horizontal="center" vertical="center"/>
    </xf>
    <xf numFmtId="210" fontId="18" fillId="0" borderId="16" xfId="0" applyNumberFormat="1" applyFont="1" applyBorder="1" applyAlignment="1">
      <alignment horizontal="center" vertical="center"/>
    </xf>
    <xf numFmtId="210" fontId="18" fillId="0" borderId="18" xfId="0" applyNumberFormat="1" applyFont="1" applyBorder="1" applyAlignment="1">
      <alignment horizontal="center" vertical="center"/>
    </xf>
    <xf numFmtId="210" fontId="19" fillId="0" borderId="0" xfId="0" applyNumberFormat="1" applyFont="1" applyAlignment="1">
      <alignment horizontal="center" vertical="center"/>
    </xf>
    <xf numFmtId="210" fontId="2" fillId="0" borderId="18" xfId="0" applyNumberFormat="1" applyFont="1" applyBorder="1" applyAlignment="1">
      <alignment horizontal="center" vertical="center"/>
    </xf>
    <xf numFmtId="210" fontId="0" fillId="0" borderId="0" xfId="1" applyNumberFormat="1" applyFont="1" applyAlignment="1">
      <alignment horizontal="center"/>
    </xf>
    <xf numFmtId="0" fontId="21" fillId="0" borderId="13" xfId="0" applyFont="1" applyBorder="1" applyAlignment="1">
      <alignment vertical="center"/>
    </xf>
    <xf numFmtId="0" fontId="21" fillId="0" borderId="15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3" fillId="4" borderId="4" xfId="2" applyBorder="1" applyAlignment="1">
      <alignment horizontal="center" vertical="center"/>
    </xf>
    <xf numFmtId="10" fontId="0" fillId="5" borderId="0" xfId="1" applyNumberFormat="1" applyFont="1" applyFill="1"/>
    <xf numFmtId="0" fontId="0" fillId="5" borderId="0" xfId="0" applyFill="1"/>
    <xf numFmtId="0" fontId="1" fillId="5" borderId="0" xfId="0" applyFont="1" applyFill="1" applyAlignment="1">
      <alignment horizontal="right"/>
    </xf>
    <xf numFmtId="180" fontId="1" fillId="5" borderId="0" xfId="0" applyNumberFormat="1" applyFont="1" applyFill="1"/>
    <xf numFmtId="0" fontId="2" fillId="5" borderId="0" xfId="0" applyFont="1" applyFill="1"/>
    <xf numFmtId="176" fontId="1" fillId="0" borderId="0" xfId="0" applyNumberFormat="1" applyFont="1"/>
    <xf numFmtId="182" fontId="0" fillId="5" borderId="0" xfId="1" applyNumberFormat="1" applyFont="1" applyFill="1"/>
    <xf numFmtId="185" fontId="1" fillId="5" borderId="0" xfId="0" applyNumberFormat="1" applyFont="1" applyFill="1"/>
    <xf numFmtId="176" fontId="0" fillId="5" borderId="0" xfId="1" applyNumberFormat="1" applyFont="1" applyFill="1"/>
    <xf numFmtId="0" fontId="24" fillId="0" borderId="0" xfId="0" applyFont="1"/>
    <xf numFmtId="190" fontId="1" fillId="5" borderId="0" xfId="0" applyNumberFormat="1" applyFont="1" applyFill="1"/>
    <xf numFmtId="187" fontId="1" fillId="0" borderId="0" xfId="0" applyNumberFormat="1" applyFont="1" applyAlignment="1">
      <alignment horizontal="left" vertical="top" wrapText="1"/>
    </xf>
    <xf numFmtId="187" fontId="0" fillId="0" borderId="0" xfId="0" applyNumberFormat="1" applyAlignment="1">
      <alignment vertical="top" wrapText="1"/>
    </xf>
    <xf numFmtId="187" fontId="0" fillId="0" borderId="0" xfId="0" applyNumberFormat="1" applyAlignment="1">
      <alignment horizontal="left" vertical="top" wrapText="1"/>
    </xf>
    <xf numFmtId="0" fontId="1" fillId="5" borderId="0" xfId="0" applyFont="1" applyFill="1"/>
    <xf numFmtId="189" fontId="0" fillId="0" borderId="1" xfId="0" applyNumberFormat="1" applyBorder="1"/>
    <xf numFmtId="0" fontId="2" fillId="0" borderId="0" xfId="0" applyFont="1" applyAlignment="1">
      <alignment horizontal="right"/>
    </xf>
    <xf numFmtId="189" fontId="2" fillId="0" borderId="0" xfId="0" applyNumberFormat="1" applyFont="1"/>
    <xf numFmtId="182" fontId="1" fillId="5" borderId="0" xfId="1" applyNumberFormat="1" applyFont="1" applyFill="1"/>
    <xf numFmtId="0" fontId="6" fillId="0" borderId="0" xfId="0" applyFont="1" applyAlignment="1">
      <alignment horizontal="right" wrapText="1"/>
    </xf>
    <xf numFmtId="0" fontId="1" fillId="0" borderId="0" xfId="0" applyFont="1" applyAlignment="1">
      <alignment horizontal="right" vertical="top" wrapText="1"/>
    </xf>
    <xf numFmtId="0" fontId="2" fillId="0" borderId="11" xfId="0" applyFont="1" applyBorder="1"/>
    <xf numFmtId="181" fontId="0" fillId="0" borderId="11" xfId="1" applyNumberFormat="1" applyFont="1" applyBorder="1"/>
    <xf numFmtId="0" fontId="2" fillId="0" borderId="7" xfId="0" applyFont="1" applyBorder="1"/>
    <xf numFmtId="0" fontId="2" fillId="0" borderId="1" xfId="0" applyFont="1" applyBorder="1" applyAlignment="1">
      <alignment horizontal="center"/>
    </xf>
    <xf numFmtId="0" fontId="2" fillId="0" borderId="9" xfId="0" applyFont="1" applyBorder="1"/>
    <xf numFmtId="0" fontId="28" fillId="0" borderId="0" xfId="0" applyFont="1"/>
    <xf numFmtId="0" fontId="2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8" borderId="10" xfId="0" applyFont="1" applyFill="1" applyBorder="1" applyAlignment="1">
      <alignment horizontal="center"/>
    </xf>
    <xf numFmtId="0" fontId="29" fillId="0" borderId="11" xfId="0" applyFont="1" applyBorder="1" applyAlignment="1">
      <alignment horizontal="center"/>
    </xf>
    <xf numFmtId="181" fontId="29" fillId="0" borderId="11" xfId="1" applyNumberFormat="1" applyFont="1" applyBorder="1" applyAlignment="1">
      <alignment horizontal="center"/>
    </xf>
    <xf numFmtId="10" fontId="29" fillId="0" borderId="11" xfId="1" applyNumberFormat="1" applyFont="1" applyBorder="1" applyAlignment="1">
      <alignment horizontal="center"/>
    </xf>
    <xf numFmtId="0" fontId="29" fillId="0" borderId="11" xfId="0" applyFont="1" applyBorder="1"/>
    <xf numFmtId="181" fontId="28" fillId="0" borderId="11" xfId="1" applyNumberFormat="1" applyFont="1" applyBorder="1"/>
    <xf numFmtId="10" fontId="28" fillId="0" borderId="11" xfId="1" applyNumberFormat="1" applyFont="1" applyBorder="1"/>
  </cellXfs>
  <cellStyles count="3">
    <cellStyle name="Good" xfId="2" builtinId="26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Discrete</a:t>
            </a:r>
            <a:r>
              <a:rPr lang="en-US" altLang="zh-CN" baseline="0"/>
              <a:t> Distribution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'[1]Discrete Distribution'!$A$2:$A$33</c:f>
              <c:numCache>
                <c:formatCode>0.00000000</c:formatCode>
                <c:ptCount val="32"/>
                <c:pt idx="0">
                  <c:v>7.125813909830728</c:v>
                </c:pt>
                <c:pt idx="1">
                  <c:v>6.4094981492696608</c:v>
                </c:pt>
                <c:pt idx="2">
                  <c:v>5.8122259495159136</c:v>
                </c:pt>
                <c:pt idx="3">
                  <c:v>5.2755509865158805</c:v>
                </c:pt>
                <c:pt idx="4">
                  <c:v>4.777164503502596</c:v>
                </c:pt>
                <c:pt idx="5">
                  <c:v>4.3055479533511987</c:v>
                </c:pt>
                <c:pt idx="6">
                  <c:v>3.8537554854714444</c:v>
                </c:pt>
                <c:pt idx="7">
                  <c:v>3.4171674928185709</c:v>
                </c:pt>
                <c:pt idx="8">
                  <c:v>2.9924908250023741</c:v>
                </c:pt>
                <c:pt idx="9">
                  <c:v>2.5772495377323175</c:v>
                </c:pt>
                <c:pt idx="10">
                  <c:v>2.1694991836061122</c:v>
                </c:pt>
                <c:pt idx="11">
                  <c:v>1.7676541094632017</c:v>
                </c:pt>
                <c:pt idx="12">
                  <c:v>1.3703764109528718</c:v>
                </c:pt>
                <c:pt idx="13">
                  <c:v>0.97650046358968279</c:v>
                </c:pt>
                <c:pt idx="14">
                  <c:v>0.58497876543593241</c:v>
                </c:pt>
                <c:pt idx="15">
                  <c:v>0.19484074156939934</c:v>
                </c:pt>
                <c:pt idx="16">
                  <c:v>-0.19484074156939934</c:v>
                </c:pt>
                <c:pt idx="17">
                  <c:v>-0.58497876543593241</c:v>
                </c:pt>
                <c:pt idx="18">
                  <c:v>-0.97650046358968279</c:v>
                </c:pt>
                <c:pt idx="19">
                  <c:v>-1.3703764109528718</c:v>
                </c:pt>
                <c:pt idx="20">
                  <c:v>-1.7676541094632017</c:v>
                </c:pt>
                <c:pt idx="21">
                  <c:v>-2.1694991836061122</c:v>
                </c:pt>
                <c:pt idx="22">
                  <c:v>-2.5772495377323175</c:v>
                </c:pt>
                <c:pt idx="23">
                  <c:v>-2.9924908250023741</c:v>
                </c:pt>
                <c:pt idx="24">
                  <c:v>-3.4171674928185709</c:v>
                </c:pt>
                <c:pt idx="25">
                  <c:v>-3.8537554854714444</c:v>
                </c:pt>
                <c:pt idx="26">
                  <c:v>-4.3055479533511987</c:v>
                </c:pt>
                <c:pt idx="27">
                  <c:v>-4.777164503502596</c:v>
                </c:pt>
                <c:pt idx="28">
                  <c:v>-5.2755509865158805</c:v>
                </c:pt>
                <c:pt idx="29">
                  <c:v>-5.8122259495159136</c:v>
                </c:pt>
                <c:pt idx="30">
                  <c:v>-6.4094981492696608</c:v>
                </c:pt>
                <c:pt idx="31">
                  <c:v>-7.125813909830728</c:v>
                </c:pt>
              </c:numCache>
            </c:numRef>
          </c:xVal>
          <c:yVal>
            <c:numRef>
              <c:f>'[1]Discrete Distribution'!$C$2:$C$33</c:f>
              <c:numCache>
                <c:formatCode>0.000E+00</c:formatCode>
                <c:ptCount val="32"/>
                <c:pt idx="0">
                  <c:v>3.0974313976850067E-12</c:v>
                </c:pt>
                <c:pt idx="1">
                  <c:v>3.0687676494147174E-10</c:v>
                </c:pt>
                <c:pt idx="2">
                  <c:v>1.0346434189931966E-8</c:v>
                </c:pt>
                <c:pt idx="3">
                  <c:v>1.8587831042048585E-7</c:v>
                </c:pt>
                <c:pt idx="4">
                  <c:v>2.1369198300785822E-6</c:v>
                </c:pt>
                <c:pt idx="5">
                  <c:v>1.7337640204613515E-5</c:v>
                </c:pt>
                <c:pt idx="6">
                  <c:v>1.0541646007925858E-4</c:v>
                </c:pt>
                <c:pt idx="7">
                  <c:v>4.9992883985248157E-4</c:v>
                </c:pt>
                <c:pt idx="8">
                  <c:v>1.9019074802430675E-3</c:v>
                </c:pt>
                <c:pt idx="9">
                  <c:v>5.9242168164729096E-3</c:v>
                </c:pt>
                <c:pt idx="10">
                  <c:v>1.5340415889209395E-2</c:v>
                </c:pt>
                <c:pt idx="11">
                  <c:v>3.3401850344814077E-2</c:v>
                </c:pt>
                <c:pt idx="12">
                  <c:v>6.1681145194339079E-2</c:v>
                </c:pt>
                <c:pt idx="13">
                  <c:v>9.7212821006291264E-2</c:v>
                </c:pt>
                <c:pt idx="14">
                  <c:v>0.13134554887729721</c:v>
                </c:pt>
                <c:pt idx="15">
                  <c:v>0.15256707799664648</c:v>
                </c:pt>
                <c:pt idx="16">
                  <c:v>0.15256707799664648</c:v>
                </c:pt>
                <c:pt idx="17">
                  <c:v>0.13134554887729721</c:v>
                </c:pt>
                <c:pt idx="18">
                  <c:v>9.7212821006291264E-2</c:v>
                </c:pt>
                <c:pt idx="19">
                  <c:v>6.1681145194339079E-2</c:v>
                </c:pt>
                <c:pt idx="20">
                  <c:v>3.3401850344814077E-2</c:v>
                </c:pt>
                <c:pt idx="21">
                  <c:v>1.5340415889209395E-2</c:v>
                </c:pt>
                <c:pt idx="22">
                  <c:v>5.9242168164729096E-3</c:v>
                </c:pt>
                <c:pt idx="23">
                  <c:v>1.9019074802430675E-3</c:v>
                </c:pt>
                <c:pt idx="24">
                  <c:v>4.9992883985248157E-4</c:v>
                </c:pt>
                <c:pt idx="25">
                  <c:v>1.0541646007925858E-4</c:v>
                </c:pt>
                <c:pt idx="26">
                  <c:v>1.7337640204613515E-5</c:v>
                </c:pt>
                <c:pt idx="27">
                  <c:v>2.1369198300785822E-6</c:v>
                </c:pt>
                <c:pt idx="28">
                  <c:v>1.8587831042048585E-7</c:v>
                </c:pt>
                <c:pt idx="29">
                  <c:v>1.0346434189931966E-8</c:v>
                </c:pt>
                <c:pt idx="30">
                  <c:v>3.0687676494147174E-10</c:v>
                </c:pt>
                <c:pt idx="31">
                  <c:v>3.0974313976850067E-12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39-4135-A379-C8B582710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9636408"/>
        <c:axId val="669639688"/>
      </c:scatterChart>
      <c:valAx>
        <c:axId val="669636408"/>
        <c:scaling>
          <c:orientation val="minMax"/>
        </c:scaling>
        <c:delete val="1"/>
        <c:axPos val="b"/>
        <c:numFmt formatCode="0.00000000" sourceLinked="1"/>
        <c:majorTickMark val="none"/>
        <c:minorTickMark val="none"/>
        <c:tickLblPos val="nextTo"/>
        <c:crossAx val="669639688"/>
        <c:crosses val="autoZero"/>
        <c:crossBetween val="midCat"/>
      </c:valAx>
      <c:valAx>
        <c:axId val="669639688"/>
        <c:scaling>
          <c:orientation val="minMax"/>
        </c:scaling>
        <c:delete val="1"/>
        <c:axPos val="l"/>
        <c:numFmt formatCode="0.000E+00" sourceLinked="1"/>
        <c:majorTickMark val="none"/>
        <c:minorTickMark val="none"/>
        <c:tickLblPos val="nextTo"/>
        <c:crossAx val="669636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99060</xdr:colOff>
      <xdr:row>1</xdr:row>
      <xdr:rowOff>38100</xdr:rowOff>
    </xdr:from>
    <xdr:to>
      <xdr:col>6</xdr:col>
      <xdr:colOff>99060</xdr:colOff>
      <xdr:row>3</xdr:row>
      <xdr:rowOff>15240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17F35BFF-DCB8-4501-86AB-1C74C5974357}"/>
            </a:ext>
          </a:extLst>
        </xdr:cNvPr>
        <xdr:cNvCxnSpPr/>
      </xdr:nvCxnSpPr>
      <xdr:spPr>
        <a:xfrm>
          <a:off x="5861685" y="200025"/>
          <a:ext cx="0" cy="33909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365761</xdr:colOff>
      <xdr:row>6</xdr:row>
      <xdr:rowOff>38100</xdr:rowOff>
    </xdr:from>
    <xdr:to>
      <xdr:col>13</xdr:col>
      <xdr:colOff>278131</xdr:colOff>
      <xdr:row>8</xdr:row>
      <xdr:rowOff>183557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3DA71-024A-44D6-83F8-09DD7F2F7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95511" y="1047750"/>
          <a:ext cx="1493520" cy="469307"/>
        </a:xfrm>
        <a:prstGeom prst="rect">
          <a:avLst/>
        </a:prstGeom>
      </xdr:spPr>
    </xdr:pic>
    <xdr:clientData/>
  </xdr:twoCellAnchor>
  <xdr:twoCellAnchor>
    <xdr:from>
      <xdr:col>10</xdr:col>
      <xdr:colOff>518160</xdr:colOff>
      <xdr:row>6</xdr:row>
      <xdr:rowOff>144780</xdr:rowOff>
    </xdr:from>
    <xdr:to>
      <xdr:col>11</xdr:col>
      <xdr:colOff>327660</xdr:colOff>
      <xdr:row>6</xdr:row>
      <xdr:rowOff>144780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97D577D8-BCB9-41A8-A94F-F6F02E4A01BD}"/>
            </a:ext>
          </a:extLst>
        </xdr:cNvPr>
        <xdr:cNvCxnSpPr/>
      </xdr:nvCxnSpPr>
      <xdr:spPr>
        <a:xfrm>
          <a:off x="9319260" y="1154430"/>
          <a:ext cx="4381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119031</xdr:colOff>
      <xdr:row>11</xdr:row>
      <xdr:rowOff>79353</xdr:rowOff>
    </xdr:from>
    <xdr:to>
      <xdr:col>6</xdr:col>
      <xdr:colOff>423831</xdr:colOff>
      <xdr:row>14</xdr:row>
      <xdr:rowOff>102446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92DD6C3-7F46-4CF2-BCAF-B0D6CF0EB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31100" y="1964646"/>
          <a:ext cx="2807576" cy="515766"/>
        </a:xfrm>
        <a:prstGeom prst="rect">
          <a:avLst/>
        </a:prstGeom>
      </xdr:spPr>
    </xdr:pic>
    <xdr:clientData/>
  </xdr:twoCellAnchor>
  <xdr:twoCellAnchor>
    <xdr:from>
      <xdr:col>5</xdr:col>
      <xdr:colOff>2217420</xdr:colOff>
      <xdr:row>9</xdr:row>
      <xdr:rowOff>60960</xdr:rowOff>
    </xdr:from>
    <xdr:to>
      <xdr:col>6</xdr:col>
      <xdr:colOff>495300</xdr:colOff>
      <xdr:row>12</xdr:row>
      <xdr:rowOff>30480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FB5927EC-9D1F-44EE-868A-1957F8FD694F}"/>
            </a:ext>
          </a:extLst>
        </xdr:cNvPr>
        <xdr:cNvCxnSpPr/>
      </xdr:nvCxnSpPr>
      <xdr:spPr>
        <a:xfrm flipH="1">
          <a:off x="5474970" y="1604010"/>
          <a:ext cx="782955" cy="45529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99060</xdr:colOff>
      <xdr:row>1</xdr:row>
      <xdr:rowOff>38100</xdr:rowOff>
    </xdr:from>
    <xdr:to>
      <xdr:col>6</xdr:col>
      <xdr:colOff>99060</xdr:colOff>
      <xdr:row>3</xdr:row>
      <xdr:rowOff>15240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D4F56D64-D1CE-46FA-BC9D-37B04E61434A}"/>
            </a:ext>
          </a:extLst>
        </xdr:cNvPr>
        <xdr:cNvCxnSpPr/>
      </xdr:nvCxnSpPr>
      <xdr:spPr>
        <a:xfrm>
          <a:off x="8519160" y="200025"/>
          <a:ext cx="0" cy="33909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365761</xdr:colOff>
      <xdr:row>6</xdr:row>
      <xdr:rowOff>38100</xdr:rowOff>
    </xdr:from>
    <xdr:to>
      <xdr:col>13</xdr:col>
      <xdr:colOff>240031</xdr:colOff>
      <xdr:row>9</xdr:row>
      <xdr:rowOff>21632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FFC171F-A16E-452C-A69B-1E5BFF682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76811" y="1047750"/>
          <a:ext cx="1436370" cy="469307"/>
        </a:xfrm>
        <a:prstGeom prst="rect">
          <a:avLst/>
        </a:prstGeom>
      </xdr:spPr>
    </xdr:pic>
    <xdr:clientData/>
  </xdr:twoCellAnchor>
  <xdr:twoCellAnchor>
    <xdr:from>
      <xdr:col>10</xdr:col>
      <xdr:colOff>518160</xdr:colOff>
      <xdr:row>6</xdr:row>
      <xdr:rowOff>144780</xdr:rowOff>
    </xdr:from>
    <xdr:to>
      <xdr:col>11</xdr:col>
      <xdr:colOff>327660</xdr:colOff>
      <xdr:row>6</xdr:row>
      <xdr:rowOff>144780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CBB8B95-92A3-4619-88E4-B1A234CDD056}"/>
            </a:ext>
          </a:extLst>
        </xdr:cNvPr>
        <xdr:cNvCxnSpPr/>
      </xdr:nvCxnSpPr>
      <xdr:spPr>
        <a:xfrm>
          <a:off x="12043410" y="1154430"/>
          <a:ext cx="4953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119031</xdr:colOff>
      <xdr:row>11</xdr:row>
      <xdr:rowOff>79353</xdr:rowOff>
    </xdr:from>
    <xdr:to>
      <xdr:col>6</xdr:col>
      <xdr:colOff>347631</xdr:colOff>
      <xdr:row>14</xdr:row>
      <xdr:rowOff>102446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DBF96EF-7023-46C9-8D28-9188B8400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34056" y="1946253"/>
          <a:ext cx="2809875" cy="508868"/>
        </a:xfrm>
        <a:prstGeom prst="rect">
          <a:avLst/>
        </a:prstGeom>
      </xdr:spPr>
    </xdr:pic>
    <xdr:clientData/>
  </xdr:twoCellAnchor>
  <xdr:twoCellAnchor>
    <xdr:from>
      <xdr:col>5</xdr:col>
      <xdr:colOff>2217420</xdr:colOff>
      <xdr:row>9</xdr:row>
      <xdr:rowOff>60960</xdr:rowOff>
    </xdr:from>
    <xdr:to>
      <xdr:col>6</xdr:col>
      <xdr:colOff>495300</xdr:colOff>
      <xdr:row>12</xdr:row>
      <xdr:rowOff>30480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CCEA338D-AEAA-43DC-8A5D-66003E9C919A}"/>
            </a:ext>
          </a:extLst>
        </xdr:cNvPr>
        <xdr:cNvCxnSpPr/>
      </xdr:nvCxnSpPr>
      <xdr:spPr>
        <a:xfrm flipH="1">
          <a:off x="8132445" y="1604010"/>
          <a:ext cx="782955" cy="45529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339587</xdr:colOff>
      <xdr:row>30</xdr:row>
      <xdr:rowOff>66260</xdr:rowOff>
    </xdr:from>
    <xdr:to>
      <xdr:col>4</xdr:col>
      <xdr:colOff>1755913</xdr:colOff>
      <xdr:row>39</xdr:row>
      <xdr:rowOff>41413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201BE2B3-B135-48AB-ABE7-E5AF4CCEBBAA}"/>
            </a:ext>
          </a:extLst>
        </xdr:cNvPr>
        <xdr:cNvSpPr txBox="1"/>
      </xdr:nvSpPr>
      <xdr:spPr>
        <a:xfrm>
          <a:off x="2609022" y="5110369"/>
          <a:ext cx="1971261" cy="14660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400" b="1"/>
            <a:t>2009 Default Count should</a:t>
          </a:r>
          <a:r>
            <a:rPr lang="en-US" altLang="zh-CN" sz="1400" b="1" baseline="0"/>
            <a:t> be 224, but this number causes the #N/A value, so we change it to be 216 to make the result shown.</a:t>
          </a:r>
          <a:endParaRPr lang="zh-CN" altLang="en-US" sz="1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18</xdr:row>
      <xdr:rowOff>19050</xdr:rowOff>
    </xdr:from>
    <xdr:to>
      <xdr:col>11</xdr:col>
      <xdr:colOff>190500</xdr:colOff>
      <xdr:row>36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AA7123-5AB6-4F69-A832-94E1B7C3EC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38516/AppData/Local/Packages/microsoft.windowscommunicationsapps_8wekyb3d8bbwe/LocalState/Files/S0/5892/Attachments/Review%20for%20lecture%207%5b9552%5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PTable1"/>
      <sheetName val="SPTable30"/>
      <sheetName val="Mehod of Moments"/>
      <sheetName val="Discrete Distribution"/>
      <sheetName val="MLE in Excel"/>
      <sheetName val="Add 2nd group of obligors"/>
      <sheetName val="Results Compared"/>
    </sheetNames>
    <sheetDataSet>
      <sheetData sheetId="0"/>
      <sheetData sheetId="1"/>
      <sheetData sheetId="2"/>
      <sheetData sheetId="3"/>
      <sheetData sheetId="4">
        <row r="2">
          <cell r="A2">
            <v>7.125813909830728</v>
          </cell>
          <cell r="C2">
            <v>3.0974313976850067E-12</v>
          </cell>
        </row>
        <row r="3">
          <cell r="A3">
            <v>6.4094981492696608</v>
          </cell>
          <cell r="C3">
            <v>3.0687676494147174E-10</v>
          </cell>
        </row>
        <row r="4">
          <cell r="A4">
            <v>5.8122259495159136</v>
          </cell>
          <cell r="C4">
            <v>1.0346434189931966E-8</v>
          </cell>
        </row>
        <row r="5">
          <cell r="A5">
            <v>5.2755509865158805</v>
          </cell>
          <cell r="C5">
            <v>1.8587831042048585E-7</v>
          </cell>
        </row>
        <row r="6">
          <cell r="A6">
            <v>4.777164503502596</v>
          </cell>
          <cell r="C6">
            <v>2.1369198300785822E-6</v>
          </cell>
        </row>
        <row r="7">
          <cell r="A7">
            <v>4.3055479533511987</v>
          </cell>
          <cell r="C7">
            <v>1.7337640204613515E-5</v>
          </cell>
        </row>
        <row r="8">
          <cell r="A8">
            <v>3.8537554854714444</v>
          </cell>
          <cell r="C8">
            <v>1.0541646007925858E-4</v>
          </cell>
        </row>
        <row r="9">
          <cell r="A9">
            <v>3.4171674928185709</v>
          </cell>
          <cell r="C9">
            <v>4.9992883985248157E-4</v>
          </cell>
        </row>
        <row r="10">
          <cell r="A10">
            <v>2.9924908250023741</v>
          </cell>
          <cell r="C10">
            <v>1.9019074802430675E-3</v>
          </cell>
        </row>
        <row r="11">
          <cell r="A11">
            <v>2.5772495377323175</v>
          </cell>
          <cell r="C11">
            <v>5.9242168164729096E-3</v>
          </cell>
        </row>
        <row r="12">
          <cell r="A12">
            <v>2.1694991836061122</v>
          </cell>
          <cell r="C12">
            <v>1.5340415889209395E-2</v>
          </cell>
        </row>
        <row r="13">
          <cell r="A13">
            <v>1.7676541094632017</v>
          </cell>
          <cell r="C13">
            <v>3.3401850344814077E-2</v>
          </cell>
        </row>
        <row r="14">
          <cell r="A14">
            <v>1.3703764109528718</v>
          </cell>
          <cell r="C14">
            <v>6.1681145194339079E-2</v>
          </cell>
        </row>
        <row r="15">
          <cell r="A15">
            <v>0.97650046358968279</v>
          </cell>
          <cell r="C15">
            <v>9.7212821006291264E-2</v>
          </cell>
        </row>
        <row r="16">
          <cell r="A16">
            <v>0.58497876543593241</v>
          </cell>
          <cell r="C16">
            <v>0.13134554887729721</v>
          </cell>
        </row>
        <row r="17">
          <cell r="A17">
            <v>0.19484074156939934</v>
          </cell>
          <cell r="C17">
            <v>0.15256707799664648</v>
          </cell>
        </row>
        <row r="18">
          <cell r="A18">
            <v>-0.19484074156939934</v>
          </cell>
          <cell r="C18">
            <v>0.15256707799664648</v>
          </cell>
        </row>
        <row r="19">
          <cell r="A19">
            <v>-0.58497876543593241</v>
          </cell>
          <cell r="C19">
            <v>0.13134554887729721</v>
          </cell>
        </row>
        <row r="20">
          <cell r="A20">
            <v>-0.97650046358968279</v>
          </cell>
          <cell r="C20">
            <v>9.7212821006291264E-2</v>
          </cell>
        </row>
        <row r="21">
          <cell r="A21">
            <v>-1.3703764109528718</v>
          </cell>
          <cell r="C21">
            <v>6.1681145194339079E-2</v>
          </cell>
        </row>
        <row r="22">
          <cell r="A22">
            <v>-1.7676541094632017</v>
          </cell>
          <cell r="C22">
            <v>3.3401850344814077E-2</v>
          </cell>
        </row>
        <row r="23">
          <cell r="A23">
            <v>-2.1694991836061122</v>
          </cell>
          <cell r="C23">
            <v>1.5340415889209395E-2</v>
          </cell>
        </row>
        <row r="24">
          <cell r="A24">
            <v>-2.5772495377323175</v>
          </cell>
          <cell r="C24">
            <v>5.9242168164729096E-3</v>
          </cell>
        </row>
        <row r="25">
          <cell r="A25">
            <v>-2.9924908250023741</v>
          </cell>
          <cell r="C25">
            <v>1.9019074802430675E-3</v>
          </cell>
        </row>
        <row r="26">
          <cell r="A26">
            <v>-3.4171674928185709</v>
          </cell>
          <cell r="C26">
            <v>4.9992883985248157E-4</v>
          </cell>
        </row>
        <row r="27">
          <cell r="A27">
            <v>-3.8537554854714444</v>
          </cell>
          <cell r="C27">
            <v>1.0541646007925858E-4</v>
          </cell>
        </row>
        <row r="28">
          <cell r="A28">
            <v>-4.3055479533511987</v>
          </cell>
          <cell r="C28">
            <v>1.7337640204613515E-5</v>
          </cell>
        </row>
        <row r="29">
          <cell r="A29">
            <v>-4.777164503502596</v>
          </cell>
          <cell r="C29">
            <v>2.1369198300785822E-6</v>
          </cell>
        </row>
        <row r="30">
          <cell r="A30">
            <v>-5.2755509865158805</v>
          </cell>
          <cell r="C30">
            <v>1.8587831042048585E-7</v>
          </cell>
        </row>
        <row r="31">
          <cell r="A31">
            <v>-5.8122259495159136</v>
          </cell>
          <cell r="C31">
            <v>1.0346434189931966E-8</v>
          </cell>
        </row>
        <row r="32">
          <cell r="A32">
            <v>-6.4094981492696608</v>
          </cell>
          <cell r="C32">
            <v>3.0687676494147174E-10</v>
          </cell>
        </row>
        <row r="33">
          <cell r="A33">
            <v>-7.125813909830728</v>
          </cell>
          <cell r="C33">
            <v>3.0974313976850067E-12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C769C-27B1-4A37-BF57-C3EEE9DA44A2}">
  <sheetPr codeName="Sheet1"/>
  <dimension ref="A1:D28"/>
  <sheetViews>
    <sheetView showFormulas="1" zoomScale="115" zoomScaleNormal="115" workbookViewId="0">
      <selection activeCell="B50" sqref="B50"/>
    </sheetView>
  </sheetViews>
  <sheetFormatPr defaultRowHeight="12.75"/>
  <cols>
    <col min="1" max="1" width="2.140625" style="46" customWidth="1"/>
    <col min="2" max="2" width="23.5703125" style="45" customWidth="1"/>
    <col min="3" max="3" width="21.5703125" style="45" customWidth="1"/>
    <col min="4" max="4" width="20.5703125" style="45" bestFit="1" customWidth="1"/>
    <col min="5" max="16384" width="9.140625" style="46"/>
  </cols>
  <sheetData>
    <row r="1" spans="1:4" ht="13.5">
      <c r="A1" s="44" t="s">
        <v>51</v>
      </c>
      <c r="C1" s="45" t="s">
        <v>52</v>
      </c>
    </row>
    <row r="2" spans="1:4">
      <c r="B2" s="45" t="s">
        <v>53</v>
      </c>
      <c r="C2" s="45">
        <v>0.1</v>
      </c>
    </row>
    <row r="3" spans="1:4">
      <c r="B3" s="45" t="s">
        <v>54</v>
      </c>
      <c r="C3" s="45">
        <v>0.1</v>
      </c>
    </row>
    <row r="4" spans="1:4">
      <c r="C4" s="45" t="s">
        <v>55</v>
      </c>
    </row>
    <row r="5" spans="1:4">
      <c r="B5" s="47" t="s">
        <v>56</v>
      </c>
      <c r="C5" s="47">
        <v>0.05</v>
      </c>
    </row>
    <row r="6" spans="1:4" ht="13.5">
      <c r="B6" s="48" t="s">
        <v>57</v>
      </c>
      <c r="C6" s="49">
        <f>(C5-C3*C2)/SQRT(C2*C3*(1-C3)*(1-C2))</f>
        <v>0.44444444444444442</v>
      </c>
      <c r="D6" s="87" t="s">
        <v>95</v>
      </c>
    </row>
    <row r="9" spans="1:4" ht="13.5">
      <c r="A9" s="44" t="s">
        <v>58</v>
      </c>
      <c r="B9" s="45" t="s">
        <v>59</v>
      </c>
      <c r="C9" s="45">
        <v>1000</v>
      </c>
    </row>
    <row r="10" spans="1:4">
      <c r="B10" s="45" t="s">
        <v>60</v>
      </c>
      <c r="C10" s="50">
        <v>0.01</v>
      </c>
    </row>
    <row r="12" spans="1:4">
      <c r="B12" s="51" t="s">
        <v>61</v>
      </c>
      <c r="C12" s="52" t="s">
        <v>62</v>
      </c>
      <c r="D12" s="53" t="s">
        <v>63</v>
      </c>
    </row>
    <row r="13" spans="1:4">
      <c r="B13" s="54" t="s">
        <v>64</v>
      </c>
      <c r="C13" s="55">
        <f>1-C10</f>
        <v>0.99</v>
      </c>
      <c r="D13" s="56">
        <f>C10</f>
        <v>0.01</v>
      </c>
    </row>
    <row r="15" spans="1:4" ht="13.5">
      <c r="B15" s="57" t="s">
        <v>65</v>
      </c>
      <c r="C15" s="57">
        <f>_xlfn.BINOM.DIST(1,1000,0.01,FALSE)</f>
        <v>4.3607320616826528E-4</v>
      </c>
      <c r="D15" s="87" t="s">
        <v>96</v>
      </c>
    </row>
    <row r="18" spans="1:4" ht="13.5">
      <c r="A18" s="44" t="s">
        <v>66</v>
      </c>
      <c r="B18" s="58" t="s">
        <v>67</v>
      </c>
      <c r="C18" s="58"/>
    </row>
    <row r="19" spans="1:4">
      <c r="B19" s="45" t="s">
        <v>68</v>
      </c>
      <c r="C19" s="59">
        <v>0.06</v>
      </c>
    </row>
    <row r="20" spans="1:4">
      <c r="B20" s="45" t="s">
        <v>69</v>
      </c>
      <c r="C20" s="59">
        <v>-2</v>
      </c>
    </row>
    <row r="21" spans="1:4">
      <c r="B21" s="45" t="s">
        <v>70</v>
      </c>
      <c r="C21" s="59">
        <v>-1</v>
      </c>
    </row>
    <row r="22" spans="1:4">
      <c r="B22" s="45" t="s">
        <v>71</v>
      </c>
      <c r="C22" s="59">
        <v>0.05</v>
      </c>
    </row>
    <row r="23" spans="1:4">
      <c r="B23" s="45" t="s">
        <v>72</v>
      </c>
      <c r="C23" s="59">
        <f>SQRT(C19)</f>
        <v>0.2449489742783178</v>
      </c>
    </row>
    <row r="24" spans="1:4">
      <c r="B24" s="45" t="s">
        <v>73</v>
      </c>
      <c r="C24" s="59">
        <f>1-C23^2</f>
        <v>0.94</v>
      </c>
    </row>
    <row r="25" spans="1:4" ht="13.5">
      <c r="B25" s="44" t="s">
        <v>74</v>
      </c>
      <c r="C25" s="60">
        <f>_xlfn.NORM.INV(C22,0,1)</f>
        <v>-1.6448536269514726</v>
      </c>
      <c r="D25" s="87" t="s">
        <v>97</v>
      </c>
    </row>
    <row r="26" spans="1:4" ht="13.5">
      <c r="B26" s="44" t="s">
        <v>75</v>
      </c>
      <c r="C26" s="60">
        <f>C23*C20+C24*C21</f>
        <v>-1.4298979485566354</v>
      </c>
      <c r="D26" s="45" t="s">
        <v>76</v>
      </c>
    </row>
    <row r="27" spans="1:4">
      <c r="B27" s="47" t="s">
        <v>77</v>
      </c>
      <c r="C27" s="47" t="b">
        <f>IF(C26&lt;=C25,TRUE,FALSE)</f>
        <v>0</v>
      </c>
      <c r="D27" s="45" t="s">
        <v>78</v>
      </c>
    </row>
    <row r="28" spans="1:4" ht="13.5">
      <c r="B28" s="91" t="s">
        <v>79</v>
      </c>
      <c r="C28" s="91"/>
    </row>
  </sheetData>
  <mergeCells count="2">
    <mergeCell ref="B18:C18"/>
    <mergeCell ref="B28:C28"/>
  </mergeCells>
  <phoneticPr fontId="1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C9662-F8B2-4B8E-A15F-A9C2840BC4CC}">
  <sheetPr codeName="Sheet2"/>
  <dimension ref="A1:P45"/>
  <sheetViews>
    <sheetView topLeftCell="A16" zoomScale="160" zoomScaleNormal="160" workbookViewId="0">
      <selection activeCell="A51" sqref="A51"/>
    </sheetView>
  </sheetViews>
  <sheetFormatPr defaultRowHeight="12.75"/>
  <cols>
    <col min="1" max="1" width="46.5703125" bestFit="1" customWidth="1"/>
    <col min="2" max="2" width="16.85546875" bestFit="1" customWidth="1"/>
    <col min="3" max="3" width="9.140625" bestFit="1" customWidth="1"/>
    <col min="4" max="4" width="9.140625" customWidth="1"/>
    <col min="5" max="5" width="8" customWidth="1"/>
    <col min="6" max="6" width="7.85546875" customWidth="1"/>
    <col min="16" max="16" width="6.85546875" customWidth="1"/>
  </cols>
  <sheetData>
    <row r="1" spans="1:16" ht="15">
      <c r="A1" s="61" t="s">
        <v>44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</row>
    <row r="2" spans="1:16" ht="60">
      <c r="A2" s="40" t="s">
        <v>0</v>
      </c>
      <c r="B2" s="40" t="s">
        <v>1</v>
      </c>
      <c r="C2" s="42" t="s">
        <v>49</v>
      </c>
      <c r="D2" s="41" t="s">
        <v>50</v>
      </c>
      <c r="E2" s="62" t="s">
        <v>45</v>
      </c>
      <c r="F2" s="63" t="s">
        <v>46</v>
      </c>
      <c r="G2" s="40" t="s">
        <v>2</v>
      </c>
      <c r="H2" s="62" t="s">
        <v>47</v>
      </c>
      <c r="I2" s="63" t="s">
        <v>48</v>
      </c>
      <c r="J2" s="63" t="s">
        <v>3</v>
      </c>
      <c r="K2" s="63" t="s">
        <v>80</v>
      </c>
      <c r="L2" s="63" t="s">
        <v>81</v>
      </c>
      <c r="M2" s="64" t="s">
        <v>82</v>
      </c>
      <c r="N2" s="65" t="s">
        <v>83</v>
      </c>
      <c r="O2" s="65" t="s">
        <v>84</v>
      </c>
      <c r="P2" s="64" t="s">
        <v>85</v>
      </c>
    </row>
    <row r="3" spans="1:16">
      <c r="A3" s="43">
        <v>1987</v>
      </c>
      <c r="B3" s="66">
        <v>19</v>
      </c>
      <c r="C3" s="67">
        <v>1335</v>
      </c>
      <c r="D3" s="67">
        <v>677</v>
      </c>
      <c r="E3" s="68">
        <v>0</v>
      </c>
      <c r="F3" s="69">
        <v>19</v>
      </c>
      <c r="G3" s="70">
        <v>0.94</v>
      </c>
      <c r="H3" s="71">
        <f>100*(E3/(C3-M3))</f>
        <v>0</v>
      </c>
      <c r="I3" s="72">
        <f>100*(F3/(D3-N3))</f>
        <v>3.2534246575342465</v>
      </c>
      <c r="J3" s="72">
        <v>1.6</v>
      </c>
      <c r="K3" s="73">
        <f>100*(E3*(E3-1))/(C3*(C3-1))</f>
        <v>0</v>
      </c>
      <c r="L3" s="73">
        <f>100*(F3*(F3-1))/(D3*(D3-1))</f>
        <v>7.4729270275230963E-2</v>
      </c>
      <c r="M3" s="72">
        <v>89</v>
      </c>
      <c r="N3" s="73">
        <v>93</v>
      </c>
      <c r="O3" s="73">
        <f>100*M3/C3</f>
        <v>6.666666666666667</v>
      </c>
      <c r="P3" s="72">
        <f>N3/D3</f>
        <v>0.13737075332348597</v>
      </c>
    </row>
    <row r="4" spans="1:16">
      <c r="A4" s="43">
        <v>1988</v>
      </c>
      <c r="B4" s="66">
        <v>32</v>
      </c>
      <c r="C4" s="67">
        <v>1349</v>
      </c>
      <c r="D4" s="67">
        <v>752</v>
      </c>
      <c r="E4" s="68">
        <v>0</v>
      </c>
      <c r="F4" s="69">
        <v>29</v>
      </c>
      <c r="G4" s="70">
        <v>1.38</v>
      </c>
      <c r="H4" s="71">
        <f t="shared" ref="H4:I34" si="0">100*(E4/(C4-M4))</f>
        <v>0</v>
      </c>
      <c r="I4" s="72">
        <f t="shared" si="0"/>
        <v>4.4342507645259941</v>
      </c>
      <c r="J4" s="72">
        <v>3.3</v>
      </c>
      <c r="K4" s="73">
        <f t="shared" ref="K4:L34" si="1">100*(E4*(E4-1))/(C4*(C4-1))</f>
        <v>0</v>
      </c>
      <c r="L4" s="73">
        <f t="shared" si="1"/>
        <v>0.14377992463948777</v>
      </c>
      <c r="M4" s="72">
        <v>73</v>
      </c>
      <c r="N4" s="73">
        <v>98</v>
      </c>
      <c r="O4" s="73">
        <f t="shared" ref="O4:O34" si="2">100*M4/C4</f>
        <v>5.4114158636026684</v>
      </c>
      <c r="P4" s="72">
        <f t="shared" ref="P4:P34" si="3">N4/D4</f>
        <v>0.13031914893617022</v>
      </c>
    </row>
    <row r="5" spans="1:16">
      <c r="A5" s="43">
        <v>1989</v>
      </c>
      <c r="B5" s="66">
        <v>44</v>
      </c>
      <c r="C5" s="67">
        <v>1392</v>
      </c>
      <c r="D5" s="67">
        <v>748</v>
      </c>
      <c r="E5" s="68">
        <v>3</v>
      </c>
      <c r="F5" s="69">
        <v>35</v>
      </c>
      <c r="G5" s="70">
        <v>1.78</v>
      </c>
      <c r="H5" s="71">
        <f t="shared" si="0"/>
        <v>0.22455089820359281</v>
      </c>
      <c r="I5" s="72">
        <f t="shared" si="0"/>
        <v>5.5205047318611982</v>
      </c>
      <c r="J5" s="72">
        <v>7.28</v>
      </c>
      <c r="K5" s="73">
        <f t="shared" si="1"/>
        <v>3.0987381938074815E-4</v>
      </c>
      <c r="L5" s="73">
        <f t="shared" si="1"/>
        <v>0.2129731045393696</v>
      </c>
      <c r="M5" s="72">
        <v>56</v>
      </c>
      <c r="N5" s="73">
        <v>114</v>
      </c>
      <c r="O5" s="73">
        <f t="shared" si="2"/>
        <v>4.0229885057471266</v>
      </c>
      <c r="P5" s="72">
        <f t="shared" si="3"/>
        <v>0.15240641711229946</v>
      </c>
    </row>
    <row r="6" spans="1:16">
      <c r="A6" s="43">
        <v>1990</v>
      </c>
      <c r="B6" s="66">
        <v>70</v>
      </c>
      <c r="C6" s="67">
        <v>1435</v>
      </c>
      <c r="D6" s="67">
        <v>690</v>
      </c>
      <c r="E6" s="68">
        <v>2</v>
      </c>
      <c r="F6" s="69">
        <v>56</v>
      </c>
      <c r="G6" s="70">
        <v>2.73</v>
      </c>
      <c r="H6" s="71">
        <f t="shared" si="0"/>
        <v>0.14388489208633093</v>
      </c>
      <c r="I6" s="72">
        <f t="shared" si="0"/>
        <v>9.3959731543624159</v>
      </c>
      <c r="J6" s="72">
        <v>21.15</v>
      </c>
      <c r="K6" s="73">
        <f t="shared" si="1"/>
        <v>9.719164734982675E-5</v>
      </c>
      <c r="L6" s="73">
        <f t="shared" si="1"/>
        <v>0.6478618455648808</v>
      </c>
      <c r="M6" s="72">
        <v>45</v>
      </c>
      <c r="N6" s="73">
        <v>94</v>
      </c>
      <c r="O6" s="73">
        <f t="shared" si="2"/>
        <v>3.1358885017421603</v>
      </c>
      <c r="P6" s="72">
        <f t="shared" si="3"/>
        <v>0.13623188405797101</v>
      </c>
    </row>
    <row r="7" spans="1:16">
      <c r="A7" s="43">
        <v>1991</v>
      </c>
      <c r="B7" s="66">
        <v>93</v>
      </c>
      <c r="C7" s="67">
        <v>1472</v>
      </c>
      <c r="D7" s="67">
        <v>588</v>
      </c>
      <c r="E7" s="68">
        <v>2</v>
      </c>
      <c r="F7" s="69">
        <v>65</v>
      </c>
      <c r="G7" s="70">
        <v>3.25</v>
      </c>
      <c r="H7" s="71">
        <f t="shared" si="0"/>
        <v>0.13831258644536654</v>
      </c>
      <c r="I7" s="72">
        <f t="shared" si="0"/>
        <v>12.014787430683919</v>
      </c>
      <c r="J7" s="72">
        <v>23.65</v>
      </c>
      <c r="K7" s="73">
        <f t="shared" si="1"/>
        <v>9.2365442024059351E-5</v>
      </c>
      <c r="L7" s="73">
        <f t="shared" si="1"/>
        <v>1.2052521178829283</v>
      </c>
      <c r="M7" s="72">
        <v>26</v>
      </c>
      <c r="N7" s="73">
        <v>47</v>
      </c>
      <c r="O7" s="73">
        <f t="shared" si="2"/>
        <v>1.7663043478260869</v>
      </c>
      <c r="P7" s="72">
        <f t="shared" si="3"/>
        <v>7.9931972789115652E-2</v>
      </c>
    </row>
    <row r="8" spans="1:16">
      <c r="A8" s="43">
        <v>1992</v>
      </c>
      <c r="B8" s="66">
        <v>39</v>
      </c>
      <c r="C8" s="67">
        <v>1619</v>
      </c>
      <c r="D8" s="67">
        <v>525</v>
      </c>
      <c r="E8" s="68">
        <v>0</v>
      </c>
      <c r="F8" s="69">
        <v>32</v>
      </c>
      <c r="G8" s="70">
        <v>1.49</v>
      </c>
      <c r="H8" s="71">
        <f t="shared" si="0"/>
        <v>0</v>
      </c>
      <c r="I8" s="72">
        <f t="shared" si="0"/>
        <v>6.6945606694560666</v>
      </c>
      <c r="J8" s="72">
        <v>5.4</v>
      </c>
      <c r="K8" s="73">
        <f t="shared" si="1"/>
        <v>0</v>
      </c>
      <c r="L8" s="73">
        <f t="shared" si="1"/>
        <v>0.36059614685568886</v>
      </c>
      <c r="M8" s="72">
        <v>38</v>
      </c>
      <c r="N8" s="73">
        <v>47</v>
      </c>
      <c r="O8" s="73">
        <f t="shared" si="2"/>
        <v>2.3471278567016678</v>
      </c>
      <c r="P8" s="72">
        <f t="shared" si="3"/>
        <v>8.9523809523809519E-2</v>
      </c>
    </row>
    <row r="9" spans="1:16">
      <c r="A9" s="43">
        <v>1993</v>
      </c>
      <c r="B9" s="66">
        <v>26</v>
      </c>
      <c r="C9" s="67">
        <v>1769</v>
      </c>
      <c r="D9" s="67">
        <v>560</v>
      </c>
      <c r="E9" s="68">
        <v>0</v>
      </c>
      <c r="F9" s="69">
        <v>14</v>
      </c>
      <c r="G9" s="70">
        <v>0.6</v>
      </c>
      <c r="H9" s="71">
        <f t="shared" si="0"/>
        <v>0</v>
      </c>
      <c r="I9" s="72">
        <f t="shared" si="0"/>
        <v>2.9787234042553195</v>
      </c>
      <c r="J9" s="72">
        <v>2.38</v>
      </c>
      <c r="K9" s="73">
        <f t="shared" si="1"/>
        <v>0</v>
      </c>
      <c r="L9" s="73">
        <f t="shared" si="1"/>
        <v>5.8139534883720929E-2</v>
      </c>
      <c r="M9" s="72">
        <v>104</v>
      </c>
      <c r="N9" s="73">
        <v>90</v>
      </c>
      <c r="O9" s="73">
        <f t="shared" si="2"/>
        <v>5.8790276992651211</v>
      </c>
      <c r="P9" s="72">
        <f t="shared" si="3"/>
        <v>0.16071428571428573</v>
      </c>
    </row>
    <row r="10" spans="1:16">
      <c r="A10" s="43">
        <v>1994</v>
      </c>
      <c r="B10" s="66">
        <v>21</v>
      </c>
      <c r="C10" s="67">
        <v>1847</v>
      </c>
      <c r="D10" s="67">
        <v>711</v>
      </c>
      <c r="E10" s="68">
        <v>1</v>
      </c>
      <c r="F10" s="69">
        <v>15</v>
      </c>
      <c r="G10" s="70">
        <v>0.63</v>
      </c>
      <c r="H10" s="71">
        <f t="shared" si="0"/>
        <v>5.6022408963585429E-2</v>
      </c>
      <c r="I10" s="72">
        <f t="shared" si="0"/>
        <v>2.2900763358778624</v>
      </c>
      <c r="J10" s="72">
        <v>2.2999999999999998</v>
      </c>
      <c r="K10" s="73">
        <f t="shared" si="1"/>
        <v>0</v>
      </c>
      <c r="L10" s="73">
        <f t="shared" si="1"/>
        <v>4.1599809829440781E-2</v>
      </c>
      <c r="M10" s="72">
        <v>62</v>
      </c>
      <c r="N10" s="73">
        <v>56</v>
      </c>
      <c r="O10" s="73">
        <f t="shared" si="2"/>
        <v>3.3567948023822414</v>
      </c>
      <c r="P10" s="72">
        <f t="shared" si="3"/>
        <v>7.8762306610407881E-2</v>
      </c>
    </row>
    <row r="11" spans="1:16">
      <c r="A11" s="43">
        <v>1995</v>
      </c>
      <c r="B11" s="66">
        <v>35</v>
      </c>
      <c r="C11" s="67">
        <v>2046</v>
      </c>
      <c r="D11" s="67">
        <v>822</v>
      </c>
      <c r="E11" s="68">
        <v>1</v>
      </c>
      <c r="F11" s="69">
        <v>29</v>
      </c>
      <c r="G11" s="70">
        <v>1.05</v>
      </c>
      <c r="H11" s="71">
        <f t="shared" si="0"/>
        <v>5.0556117290192118E-2</v>
      </c>
      <c r="I11" s="72">
        <f t="shared" si="0"/>
        <v>3.8258575197889182</v>
      </c>
      <c r="J11" s="72">
        <v>8.9700000000000006</v>
      </c>
      <c r="K11" s="73">
        <f t="shared" si="1"/>
        <v>0</v>
      </c>
      <c r="L11" s="73">
        <f t="shared" si="1"/>
        <v>0.12032089523487764</v>
      </c>
      <c r="M11" s="72">
        <v>68</v>
      </c>
      <c r="N11" s="73">
        <v>64</v>
      </c>
      <c r="O11" s="73">
        <f t="shared" si="2"/>
        <v>3.3235581622678398</v>
      </c>
      <c r="P11" s="72">
        <f t="shared" si="3"/>
        <v>7.785888077858881E-2</v>
      </c>
    </row>
    <row r="12" spans="1:16">
      <c r="A12" s="43">
        <v>1996</v>
      </c>
      <c r="B12" s="66">
        <v>20</v>
      </c>
      <c r="C12" s="67">
        <v>2243</v>
      </c>
      <c r="D12" s="67">
        <v>885</v>
      </c>
      <c r="E12" s="68">
        <v>0</v>
      </c>
      <c r="F12" s="69">
        <v>16</v>
      </c>
      <c r="G12" s="70">
        <v>0.51</v>
      </c>
      <c r="H12" s="71">
        <f t="shared" si="0"/>
        <v>0</v>
      </c>
      <c r="I12" s="72">
        <f t="shared" si="0"/>
        <v>2.064516129032258</v>
      </c>
      <c r="J12" s="72">
        <v>2.65</v>
      </c>
      <c r="K12" s="73">
        <f t="shared" si="1"/>
        <v>0</v>
      </c>
      <c r="L12" s="73">
        <f t="shared" si="1"/>
        <v>3.0677199171715623E-2</v>
      </c>
      <c r="M12" s="72">
        <v>110</v>
      </c>
      <c r="N12" s="73">
        <v>110</v>
      </c>
      <c r="O12" s="73">
        <f t="shared" si="2"/>
        <v>4.9041462327240302</v>
      </c>
      <c r="P12" s="72">
        <f t="shared" si="3"/>
        <v>0.12429378531073447</v>
      </c>
    </row>
    <row r="13" spans="1:16">
      <c r="A13" s="43">
        <v>1997</v>
      </c>
      <c r="B13" s="66">
        <v>23</v>
      </c>
      <c r="C13" s="67">
        <v>2490</v>
      </c>
      <c r="D13" s="67">
        <v>997</v>
      </c>
      <c r="E13" s="68">
        <v>2</v>
      </c>
      <c r="F13" s="69">
        <v>20</v>
      </c>
      <c r="G13" s="70">
        <v>0.63</v>
      </c>
      <c r="H13" s="71">
        <f t="shared" si="0"/>
        <v>8.4997875053123673E-2</v>
      </c>
      <c r="I13" s="72">
        <f t="shared" si="0"/>
        <v>2.2988505747126435</v>
      </c>
      <c r="J13" s="72">
        <v>4.93</v>
      </c>
      <c r="K13" s="73">
        <f t="shared" si="1"/>
        <v>3.2270504275035054E-5</v>
      </c>
      <c r="L13" s="73">
        <f t="shared" si="1"/>
        <v>3.826741267980649E-2</v>
      </c>
      <c r="M13" s="72">
        <v>137</v>
      </c>
      <c r="N13" s="73">
        <v>127</v>
      </c>
      <c r="O13" s="73">
        <f t="shared" si="2"/>
        <v>5.5020080321285141</v>
      </c>
      <c r="P13" s="72">
        <f t="shared" si="3"/>
        <v>0.12738214643931794</v>
      </c>
    </row>
    <row r="14" spans="1:16">
      <c r="A14" s="43">
        <v>1998</v>
      </c>
      <c r="B14" s="66">
        <v>56</v>
      </c>
      <c r="C14" s="67">
        <v>2764</v>
      </c>
      <c r="D14" s="67">
        <v>1309</v>
      </c>
      <c r="E14" s="68">
        <v>4</v>
      </c>
      <c r="F14" s="69">
        <v>48</v>
      </c>
      <c r="G14" s="70">
        <v>1.29</v>
      </c>
      <c r="H14" s="71">
        <f t="shared" si="0"/>
        <v>0.15600624024960999</v>
      </c>
      <c r="I14" s="72">
        <f t="shared" si="0"/>
        <v>4.0506329113924053</v>
      </c>
      <c r="J14" s="72">
        <v>11.27</v>
      </c>
      <c r="K14" s="73">
        <f t="shared" si="1"/>
        <v>1.5713116209493551E-4</v>
      </c>
      <c r="L14" s="73">
        <f t="shared" si="1"/>
        <v>0.13176246311702328</v>
      </c>
      <c r="M14" s="72">
        <v>200</v>
      </c>
      <c r="N14" s="73">
        <v>124</v>
      </c>
      <c r="O14" s="73">
        <f t="shared" si="2"/>
        <v>7.2358900144717797</v>
      </c>
      <c r="P14" s="72">
        <f t="shared" si="3"/>
        <v>9.4728800611153546E-2</v>
      </c>
    </row>
    <row r="15" spans="1:16">
      <c r="A15" s="43">
        <v>1999</v>
      </c>
      <c r="B15" s="66">
        <v>109</v>
      </c>
      <c r="C15" s="67">
        <v>2870</v>
      </c>
      <c r="D15" s="67">
        <v>1654</v>
      </c>
      <c r="E15" s="68">
        <v>5</v>
      </c>
      <c r="F15" s="69">
        <v>92</v>
      </c>
      <c r="G15" s="70">
        <v>2.14</v>
      </c>
      <c r="H15" s="71">
        <f t="shared" si="0"/>
        <v>0.18853695324283559</v>
      </c>
      <c r="I15" s="72">
        <f t="shared" si="0"/>
        <v>6.2927496580027356</v>
      </c>
      <c r="J15" s="72">
        <v>39.380000000000003</v>
      </c>
      <c r="K15" s="73">
        <f t="shared" si="1"/>
        <v>2.4289442715171063E-4</v>
      </c>
      <c r="L15" s="73">
        <f t="shared" si="1"/>
        <v>0.30621105154162559</v>
      </c>
      <c r="M15" s="72">
        <v>218</v>
      </c>
      <c r="N15" s="73">
        <v>192</v>
      </c>
      <c r="O15" s="73">
        <f t="shared" si="2"/>
        <v>7.5958188153310102</v>
      </c>
      <c r="P15" s="72">
        <f t="shared" si="3"/>
        <v>0.11608222490931076</v>
      </c>
    </row>
    <row r="16" spans="1:16">
      <c r="A16" s="43">
        <v>2000</v>
      </c>
      <c r="B16" s="66">
        <v>136</v>
      </c>
      <c r="C16" s="67">
        <v>2927</v>
      </c>
      <c r="D16" s="67">
        <v>1750</v>
      </c>
      <c r="E16" s="68">
        <v>7</v>
      </c>
      <c r="F16" s="69">
        <v>109</v>
      </c>
      <c r="G16" s="70">
        <v>2.48</v>
      </c>
      <c r="H16" s="71">
        <f t="shared" si="0"/>
        <v>0.25556772544724349</v>
      </c>
      <c r="I16" s="72">
        <f t="shared" si="0"/>
        <v>6.7912772585669785</v>
      </c>
      <c r="J16" s="72">
        <v>43.28</v>
      </c>
      <c r="K16" s="73">
        <f t="shared" si="1"/>
        <v>4.9040201522534792E-4</v>
      </c>
      <c r="L16" s="73">
        <f t="shared" si="1"/>
        <v>0.38461161480029404</v>
      </c>
      <c r="M16" s="72">
        <v>188</v>
      </c>
      <c r="N16" s="73">
        <v>145</v>
      </c>
      <c r="O16" s="73">
        <f t="shared" si="2"/>
        <v>6.4229586607447899</v>
      </c>
      <c r="P16" s="72">
        <f t="shared" si="3"/>
        <v>8.2857142857142851E-2</v>
      </c>
    </row>
    <row r="17" spans="1:16">
      <c r="A17" s="43">
        <v>2001</v>
      </c>
      <c r="B17" s="66">
        <v>229</v>
      </c>
      <c r="C17" s="67">
        <v>2999</v>
      </c>
      <c r="D17" s="67">
        <v>1752</v>
      </c>
      <c r="E17" s="68">
        <v>7</v>
      </c>
      <c r="F17" s="69">
        <v>173</v>
      </c>
      <c r="G17" s="70">
        <v>3.79</v>
      </c>
      <c r="H17" s="71">
        <f t="shared" si="0"/>
        <v>0.24955436720142604</v>
      </c>
      <c r="I17" s="72">
        <f t="shared" si="0"/>
        <v>10.901071203528669</v>
      </c>
      <c r="J17" s="72">
        <v>118.79</v>
      </c>
      <c r="K17" s="73">
        <f t="shared" si="1"/>
        <v>4.6713369655573426E-4</v>
      </c>
      <c r="L17" s="73">
        <f t="shared" si="1"/>
        <v>0.9699610659531801</v>
      </c>
      <c r="M17" s="72">
        <v>194</v>
      </c>
      <c r="N17" s="73">
        <v>165</v>
      </c>
      <c r="O17" s="73">
        <f t="shared" si="2"/>
        <v>6.4688229409803268</v>
      </c>
      <c r="P17" s="72">
        <f t="shared" si="3"/>
        <v>9.4178082191780824E-2</v>
      </c>
    </row>
    <row r="18" spans="1:16">
      <c r="A18" s="43">
        <v>2002</v>
      </c>
      <c r="B18" s="66">
        <v>225</v>
      </c>
      <c r="C18" s="67">
        <v>3108</v>
      </c>
      <c r="D18" s="67">
        <v>1675</v>
      </c>
      <c r="E18" s="68">
        <v>13</v>
      </c>
      <c r="F18" s="69">
        <v>159</v>
      </c>
      <c r="G18" s="70">
        <v>3.6</v>
      </c>
      <c r="H18" s="71">
        <f t="shared" si="0"/>
        <v>0.44612216884008238</v>
      </c>
      <c r="I18" s="72">
        <f t="shared" si="0"/>
        <v>10.446780551905388</v>
      </c>
      <c r="J18" s="72">
        <v>190.92</v>
      </c>
      <c r="K18" s="73">
        <f t="shared" si="1"/>
        <v>1.6154827870309041E-3</v>
      </c>
      <c r="L18" s="73">
        <f t="shared" si="1"/>
        <v>0.89595035574814097</v>
      </c>
      <c r="M18" s="72">
        <v>194</v>
      </c>
      <c r="N18" s="73">
        <v>153</v>
      </c>
      <c r="O18" s="73">
        <f t="shared" si="2"/>
        <v>6.2419562419562418</v>
      </c>
      <c r="P18" s="72">
        <f t="shared" si="3"/>
        <v>9.1343283582089554E-2</v>
      </c>
    </row>
    <row r="19" spans="1:16">
      <c r="A19" s="43">
        <v>2003</v>
      </c>
      <c r="B19" s="66">
        <v>119</v>
      </c>
      <c r="C19" s="67">
        <v>3022</v>
      </c>
      <c r="D19" s="67">
        <v>1757</v>
      </c>
      <c r="E19" s="68">
        <v>3</v>
      </c>
      <c r="F19" s="69">
        <v>89</v>
      </c>
      <c r="G19" s="70">
        <v>1.93</v>
      </c>
      <c r="H19" s="71">
        <f t="shared" si="0"/>
        <v>0.10445682451253482</v>
      </c>
      <c r="I19" s="72">
        <f t="shared" si="0"/>
        <v>5.7161207450224794</v>
      </c>
      <c r="J19" s="72">
        <v>62.89</v>
      </c>
      <c r="K19" s="73">
        <f t="shared" si="1"/>
        <v>6.5721287848068152E-5</v>
      </c>
      <c r="L19" s="73">
        <f t="shared" si="1"/>
        <v>0.25384955459645309</v>
      </c>
      <c r="M19" s="72">
        <v>150</v>
      </c>
      <c r="N19" s="73">
        <v>200</v>
      </c>
      <c r="O19" s="73">
        <f t="shared" si="2"/>
        <v>4.9636002647253479</v>
      </c>
      <c r="P19" s="72">
        <f t="shared" si="3"/>
        <v>0.11383039271485487</v>
      </c>
    </row>
    <row r="20" spans="1:16">
      <c r="A20" s="43">
        <v>2004</v>
      </c>
      <c r="B20" s="66">
        <v>56</v>
      </c>
      <c r="C20" s="67">
        <v>3137</v>
      </c>
      <c r="D20" s="67">
        <v>1877</v>
      </c>
      <c r="E20" s="68">
        <v>1</v>
      </c>
      <c r="F20" s="69">
        <v>38</v>
      </c>
      <c r="G20" s="70">
        <v>0.78</v>
      </c>
      <c r="H20" s="71">
        <f t="shared" si="0"/>
        <v>3.3500837520938027E-2</v>
      </c>
      <c r="I20" s="72">
        <f t="shared" si="0"/>
        <v>2.2809123649459786</v>
      </c>
      <c r="J20" s="72">
        <v>20.66</v>
      </c>
      <c r="K20" s="73">
        <f t="shared" si="1"/>
        <v>0</v>
      </c>
      <c r="L20" s="73">
        <f t="shared" si="1"/>
        <v>3.9928979806046261E-2</v>
      </c>
      <c r="M20" s="72">
        <v>152</v>
      </c>
      <c r="N20" s="73">
        <v>211</v>
      </c>
      <c r="O20" s="73">
        <f t="shared" si="2"/>
        <v>4.8453936882371691</v>
      </c>
      <c r="P20" s="72">
        <f t="shared" si="3"/>
        <v>0.11241342567927544</v>
      </c>
    </row>
    <row r="21" spans="1:16">
      <c r="A21" s="43">
        <v>2005</v>
      </c>
      <c r="B21" s="66">
        <v>40</v>
      </c>
      <c r="C21" s="67">
        <v>3247</v>
      </c>
      <c r="D21" s="67">
        <v>2059</v>
      </c>
      <c r="E21" s="68">
        <v>1</v>
      </c>
      <c r="F21" s="69">
        <v>31</v>
      </c>
      <c r="G21" s="70">
        <v>0.6</v>
      </c>
      <c r="H21" s="71">
        <f t="shared" si="0"/>
        <v>3.259452411994785E-2</v>
      </c>
      <c r="I21" s="72">
        <f t="shared" si="0"/>
        <v>1.7318435754189943</v>
      </c>
      <c r="J21" s="72">
        <v>42</v>
      </c>
      <c r="K21" s="73">
        <f t="shared" si="1"/>
        <v>0</v>
      </c>
      <c r="L21" s="73">
        <f t="shared" si="1"/>
        <v>2.1947306640688606E-2</v>
      </c>
      <c r="M21" s="74">
        <v>179</v>
      </c>
      <c r="N21" s="73">
        <v>269</v>
      </c>
      <c r="O21" s="73">
        <f t="shared" si="2"/>
        <v>5.5127810286418235</v>
      </c>
      <c r="P21" s="72">
        <f t="shared" si="3"/>
        <v>0.13064594463331713</v>
      </c>
    </row>
    <row r="22" spans="1:16">
      <c r="A22" s="43">
        <v>2006</v>
      </c>
      <c r="B22" s="43">
        <v>30</v>
      </c>
      <c r="C22" s="67">
        <v>3272</v>
      </c>
      <c r="D22" s="67">
        <v>2192</v>
      </c>
      <c r="E22" s="75">
        <v>0</v>
      </c>
      <c r="F22" s="74">
        <v>26</v>
      </c>
      <c r="G22" s="43">
        <v>0.48</v>
      </c>
      <c r="H22" s="71">
        <f t="shared" si="0"/>
        <v>0</v>
      </c>
      <c r="I22" s="72">
        <f t="shared" si="0"/>
        <v>1.389631213254944</v>
      </c>
      <c r="J22" s="74">
        <v>7.13</v>
      </c>
      <c r="K22" s="73">
        <f t="shared" si="1"/>
        <v>0</v>
      </c>
      <c r="L22" s="73">
        <f t="shared" si="1"/>
        <v>1.3534132666149177E-2</v>
      </c>
      <c r="M22" s="74">
        <v>156</v>
      </c>
      <c r="N22" s="73">
        <v>321</v>
      </c>
      <c r="O22" s="73">
        <f t="shared" si="2"/>
        <v>4.7677261613691932</v>
      </c>
      <c r="P22" s="72">
        <f t="shared" si="3"/>
        <v>0.14644160583941607</v>
      </c>
    </row>
    <row r="23" spans="1:16">
      <c r="A23" s="43">
        <v>2007</v>
      </c>
      <c r="B23" s="43">
        <v>24</v>
      </c>
      <c r="C23" s="67">
        <v>3348</v>
      </c>
      <c r="D23" s="67">
        <v>2301</v>
      </c>
      <c r="E23" s="75">
        <v>0</v>
      </c>
      <c r="F23" s="74">
        <v>21</v>
      </c>
      <c r="G23" s="43">
        <v>0.37</v>
      </c>
      <c r="H23" s="71">
        <f t="shared" si="0"/>
        <v>0</v>
      </c>
      <c r="I23" s="72">
        <f t="shared" si="0"/>
        <v>1.0643689812468322</v>
      </c>
      <c r="J23" s="74">
        <v>8.15</v>
      </c>
      <c r="K23" s="73">
        <f t="shared" si="1"/>
        <v>0</v>
      </c>
      <c r="L23" s="73">
        <f t="shared" si="1"/>
        <v>7.9360580465959972E-3</v>
      </c>
      <c r="M23" s="74">
        <v>272</v>
      </c>
      <c r="N23" s="73">
        <v>328</v>
      </c>
      <c r="O23" s="73">
        <f t="shared" si="2"/>
        <v>8.1242532855436078</v>
      </c>
      <c r="P23" s="72">
        <f t="shared" si="3"/>
        <v>0.14254671881790526</v>
      </c>
    </row>
    <row r="24" spans="1:16">
      <c r="A24" s="43">
        <v>2008</v>
      </c>
      <c r="B24" s="43">
        <v>127</v>
      </c>
      <c r="C24" s="67">
        <v>3327</v>
      </c>
      <c r="D24" s="67">
        <v>2403</v>
      </c>
      <c r="E24" s="75">
        <v>14</v>
      </c>
      <c r="F24" s="74">
        <v>89</v>
      </c>
      <c r="G24" s="43">
        <v>1.8</v>
      </c>
      <c r="H24" s="71">
        <f t="shared" si="0"/>
        <v>0.44500953591862685</v>
      </c>
      <c r="I24" s="72">
        <f t="shared" si="0"/>
        <v>4.1549953314659192</v>
      </c>
      <c r="J24" s="74">
        <v>429.63</v>
      </c>
      <c r="K24" s="73">
        <f t="shared" si="1"/>
        <v>1.6447365448350663E-3</v>
      </c>
      <c r="L24" s="73">
        <f t="shared" si="1"/>
        <v>0.13568939464026891</v>
      </c>
      <c r="M24" s="74">
        <v>181</v>
      </c>
      <c r="N24" s="73">
        <v>261</v>
      </c>
      <c r="O24" s="73">
        <f t="shared" si="2"/>
        <v>5.4403366396152686</v>
      </c>
      <c r="P24" s="72">
        <f t="shared" si="3"/>
        <v>0.10861423220973783</v>
      </c>
    </row>
    <row r="25" spans="1:16">
      <c r="A25" s="43">
        <v>2009</v>
      </c>
      <c r="B25" s="43">
        <v>268</v>
      </c>
      <c r="C25" s="67">
        <v>3361</v>
      </c>
      <c r="D25" s="67">
        <v>2254</v>
      </c>
      <c r="E25" s="75">
        <v>11</v>
      </c>
      <c r="F25" s="74">
        <v>224</v>
      </c>
      <c r="G25" s="43">
        <v>4.1900000000000004</v>
      </c>
      <c r="H25" s="71">
        <f t="shared" si="0"/>
        <v>0.35166240409207161</v>
      </c>
      <c r="I25" s="72">
        <f t="shared" si="0"/>
        <v>11.26194067370538</v>
      </c>
      <c r="J25" s="74">
        <v>627.70000000000005</v>
      </c>
      <c r="K25" s="73">
        <f t="shared" si="1"/>
        <v>9.7405817429619865E-4</v>
      </c>
      <c r="L25" s="73">
        <f t="shared" si="1"/>
        <v>0.98364361665467437</v>
      </c>
      <c r="M25" s="74">
        <v>233</v>
      </c>
      <c r="N25" s="73">
        <v>265</v>
      </c>
      <c r="O25" s="73">
        <f t="shared" si="2"/>
        <v>6.9324605772091639</v>
      </c>
      <c r="P25" s="72">
        <f t="shared" si="3"/>
        <v>0.11756876663708962</v>
      </c>
    </row>
    <row r="26" spans="1:16">
      <c r="A26" s="43">
        <v>2010</v>
      </c>
      <c r="B26" s="43">
        <v>83</v>
      </c>
      <c r="C26" s="67">
        <v>3189</v>
      </c>
      <c r="D26" s="67">
        <v>2120</v>
      </c>
      <c r="E26" s="75">
        <v>0</v>
      </c>
      <c r="F26" s="74">
        <v>64</v>
      </c>
      <c r="G26" s="43">
        <v>1.21</v>
      </c>
      <c r="H26" s="71">
        <f t="shared" si="0"/>
        <v>0</v>
      </c>
      <c r="I26" s="72">
        <f t="shared" si="0"/>
        <v>3.3455305802404598</v>
      </c>
      <c r="J26" s="74">
        <v>97.48</v>
      </c>
      <c r="K26" s="73">
        <f t="shared" si="1"/>
        <v>0</v>
      </c>
      <c r="L26" s="73">
        <f t="shared" si="1"/>
        <v>8.9753977935480428E-2</v>
      </c>
      <c r="M26" s="74">
        <v>138</v>
      </c>
      <c r="N26" s="73">
        <v>207</v>
      </c>
      <c r="O26" s="73">
        <f t="shared" si="2"/>
        <v>4.3273753527751646</v>
      </c>
      <c r="P26" s="72">
        <f t="shared" si="3"/>
        <v>9.764150943396227E-2</v>
      </c>
    </row>
    <row r="27" spans="1:16">
      <c r="A27" s="43">
        <v>2011</v>
      </c>
      <c r="B27" s="43">
        <v>53</v>
      </c>
      <c r="C27" s="67">
        <v>3238</v>
      </c>
      <c r="D27" s="67">
        <v>2386</v>
      </c>
      <c r="E27" s="75">
        <v>1</v>
      </c>
      <c r="F27" s="74">
        <v>44</v>
      </c>
      <c r="G27" s="43">
        <v>0.8</v>
      </c>
      <c r="H27" s="71">
        <f t="shared" si="0"/>
        <v>3.2467532467532464E-2</v>
      </c>
      <c r="I27" s="72">
        <f t="shared" si="0"/>
        <v>2.0902612826603324</v>
      </c>
      <c r="J27" s="74">
        <v>84.3</v>
      </c>
      <c r="K27" s="73">
        <f t="shared" si="1"/>
        <v>0</v>
      </c>
      <c r="L27" s="73">
        <f t="shared" si="1"/>
        <v>3.3247753755748503E-2</v>
      </c>
      <c r="M27" s="74">
        <v>158</v>
      </c>
      <c r="N27" s="73">
        <v>281</v>
      </c>
      <c r="O27" s="73">
        <f t="shared" si="2"/>
        <v>4.8795552810376774</v>
      </c>
      <c r="P27" s="72">
        <f t="shared" si="3"/>
        <v>0.11777032690695725</v>
      </c>
    </row>
    <row r="28" spans="1:16">
      <c r="A28" s="43">
        <v>2012</v>
      </c>
      <c r="B28" s="43">
        <v>83</v>
      </c>
      <c r="C28" s="67">
        <v>3251</v>
      </c>
      <c r="D28" s="67">
        <v>2551</v>
      </c>
      <c r="E28" s="75">
        <v>0</v>
      </c>
      <c r="F28" s="74">
        <v>66</v>
      </c>
      <c r="G28" s="43">
        <v>1.1399999999999999</v>
      </c>
      <c r="H28" s="71">
        <f t="shared" si="0"/>
        <v>0</v>
      </c>
      <c r="I28" s="72">
        <f t="shared" si="0"/>
        <v>2.8733130169786678</v>
      </c>
      <c r="J28" s="74">
        <v>86.7</v>
      </c>
      <c r="K28" s="73">
        <f t="shared" si="1"/>
        <v>0</v>
      </c>
      <c r="L28" s="73">
        <f t="shared" si="1"/>
        <v>6.5948762884220719E-2</v>
      </c>
      <c r="M28" s="74">
        <v>147</v>
      </c>
      <c r="N28" s="73">
        <v>254</v>
      </c>
      <c r="O28" s="73">
        <f t="shared" si="2"/>
        <v>4.521685635189173</v>
      </c>
      <c r="P28" s="72">
        <f t="shared" si="3"/>
        <v>9.9568796550372402E-2</v>
      </c>
    </row>
    <row r="29" spans="1:16">
      <c r="A29" s="43">
        <v>2013</v>
      </c>
      <c r="B29" s="43">
        <v>81</v>
      </c>
      <c r="C29" s="67">
        <v>3262</v>
      </c>
      <c r="D29" s="67">
        <v>2776</v>
      </c>
      <c r="E29" s="75">
        <v>0</v>
      </c>
      <c r="F29" s="74">
        <v>64</v>
      </c>
      <c r="G29" s="43">
        <v>1.06</v>
      </c>
      <c r="H29" s="71">
        <f t="shared" si="0"/>
        <v>0</v>
      </c>
      <c r="I29" s="72">
        <f t="shared" si="0"/>
        <v>2.570281124497992</v>
      </c>
      <c r="J29" s="74">
        <v>97.29</v>
      </c>
      <c r="K29" s="73">
        <f t="shared" si="1"/>
        <v>0</v>
      </c>
      <c r="L29" s="73">
        <f t="shared" si="1"/>
        <v>5.234052496300335E-2</v>
      </c>
      <c r="M29" s="74">
        <v>120</v>
      </c>
      <c r="N29" s="73">
        <v>286</v>
      </c>
      <c r="O29" s="73">
        <f t="shared" si="2"/>
        <v>3.6787247087676271</v>
      </c>
      <c r="P29" s="72">
        <f t="shared" si="3"/>
        <v>0.10302593659942363</v>
      </c>
    </row>
    <row r="30" spans="1:16">
      <c r="A30" s="43">
        <v>2014</v>
      </c>
      <c r="B30" s="43">
        <v>60</v>
      </c>
      <c r="C30" s="67">
        <v>3358</v>
      </c>
      <c r="D30" s="67">
        <v>3124</v>
      </c>
      <c r="E30" s="75">
        <v>0</v>
      </c>
      <c r="F30" s="74">
        <v>45</v>
      </c>
      <c r="G30" s="43">
        <v>0.69</v>
      </c>
      <c r="H30" s="71">
        <f t="shared" si="0"/>
        <v>0</v>
      </c>
      <c r="I30" s="72">
        <f t="shared" si="0"/>
        <v>1.6286644951140066</v>
      </c>
      <c r="J30" s="74">
        <v>91.55</v>
      </c>
      <c r="K30" s="73">
        <f t="shared" si="1"/>
        <v>0</v>
      </c>
      <c r="L30" s="73">
        <f t="shared" si="1"/>
        <v>2.0294678735235622E-2</v>
      </c>
      <c r="M30" s="74">
        <v>103</v>
      </c>
      <c r="N30" s="73">
        <v>361</v>
      </c>
      <c r="O30" s="73">
        <f t="shared" si="2"/>
        <v>3.0673019654556284</v>
      </c>
      <c r="P30" s="72">
        <f t="shared" si="3"/>
        <v>0.11555697823303457</v>
      </c>
    </row>
    <row r="31" spans="1:16">
      <c r="A31" s="43">
        <v>2015</v>
      </c>
      <c r="B31" s="43">
        <v>113</v>
      </c>
      <c r="C31" s="67">
        <v>3513</v>
      </c>
      <c r="D31" s="67">
        <v>3389</v>
      </c>
      <c r="E31" s="75">
        <v>0</v>
      </c>
      <c r="F31" s="74">
        <v>94</v>
      </c>
      <c r="G31" s="43">
        <v>1.36</v>
      </c>
      <c r="H31" s="71">
        <f t="shared" si="0"/>
        <v>0</v>
      </c>
      <c r="I31" s="72">
        <f t="shared" si="0"/>
        <v>3.1554212823094998</v>
      </c>
      <c r="J31" s="74">
        <v>110.31</v>
      </c>
      <c r="K31" s="73">
        <f t="shared" si="1"/>
        <v>0</v>
      </c>
      <c r="L31" s="73">
        <f t="shared" si="1"/>
        <v>7.6137012481871519E-2</v>
      </c>
      <c r="M31" s="74">
        <v>163</v>
      </c>
      <c r="N31" s="73">
        <v>410</v>
      </c>
      <c r="O31" s="73">
        <f t="shared" si="2"/>
        <v>4.6399089097637347</v>
      </c>
      <c r="P31" s="72">
        <f t="shared" si="3"/>
        <v>0.12097964001180289</v>
      </c>
    </row>
    <row r="32" spans="1:16">
      <c r="A32" s="43">
        <v>2016</v>
      </c>
      <c r="B32" s="43">
        <v>163</v>
      </c>
      <c r="C32" s="67">
        <v>3525</v>
      </c>
      <c r="D32" s="67">
        <v>3382</v>
      </c>
      <c r="E32" s="75">
        <v>1</v>
      </c>
      <c r="F32" s="74">
        <v>143</v>
      </c>
      <c r="G32" s="43">
        <v>2.08</v>
      </c>
      <c r="H32" s="71">
        <f t="shared" si="0"/>
        <v>2.9904306220095694E-2</v>
      </c>
      <c r="I32" s="72">
        <f t="shared" si="0"/>
        <v>4.7874121191831271</v>
      </c>
      <c r="J32" s="74">
        <v>239.79</v>
      </c>
      <c r="K32" s="73">
        <f t="shared" si="1"/>
        <v>0</v>
      </c>
      <c r="L32" s="73">
        <f t="shared" si="1"/>
        <v>0.1775847252998852</v>
      </c>
      <c r="M32" s="74">
        <v>181</v>
      </c>
      <c r="N32" s="73">
        <v>395</v>
      </c>
      <c r="O32" s="73">
        <f t="shared" si="2"/>
        <v>5.1347517730496453</v>
      </c>
      <c r="P32" s="72">
        <f t="shared" si="3"/>
        <v>0.11679479597871083</v>
      </c>
    </row>
    <row r="33" spans="1:16">
      <c r="A33" s="43">
        <v>2017</v>
      </c>
      <c r="B33" s="43">
        <v>95</v>
      </c>
      <c r="C33" s="67">
        <v>3510</v>
      </c>
      <c r="D33" s="67">
        <v>3379</v>
      </c>
      <c r="E33" s="75">
        <v>0</v>
      </c>
      <c r="F33" s="74">
        <v>83</v>
      </c>
      <c r="G33" s="43">
        <v>1.2</v>
      </c>
      <c r="H33" s="71">
        <f t="shared" si="0"/>
        <v>0</v>
      </c>
      <c r="I33" s="72">
        <f t="shared" si="0"/>
        <v>2.8551771585827312</v>
      </c>
      <c r="J33" s="74">
        <v>104.57</v>
      </c>
      <c r="K33" s="73">
        <f t="shared" si="1"/>
        <v>0</v>
      </c>
      <c r="L33" s="73">
        <f t="shared" si="1"/>
        <v>5.9627157673443974E-2</v>
      </c>
      <c r="M33" s="76">
        <v>153</v>
      </c>
      <c r="N33" s="73">
        <v>472</v>
      </c>
      <c r="O33" s="73">
        <f t="shared" si="2"/>
        <v>4.3589743589743586</v>
      </c>
      <c r="P33" s="72">
        <f t="shared" si="3"/>
        <v>0.13968629772121929</v>
      </c>
    </row>
    <row r="34" spans="1:16">
      <c r="A34" s="43">
        <v>2018</v>
      </c>
      <c r="B34" s="43">
        <v>82</v>
      </c>
      <c r="C34" s="67">
        <v>3532</v>
      </c>
      <c r="D34" s="67">
        <v>3449</v>
      </c>
      <c r="E34" s="75">
        <v>0</v>
      </c>
      <c r="F34" s="74">
        <v>72</v>
      </c>
      <c r="G34" s="43">
        <v>1.03</v>
      </c>
      <c r="H34" s="71">
        <f t="shared" si="0"/>
        <v>0</v>
      </c>
      <c r="I34" s="72">
        <f t="shared" si="0"/>
        <v>2.3731048121292022</v>
      </c>
      <c r="J34" s="76">
        <v>131.65</v>
      </c>
      <c r="K34" s="73">
        <f t="shared" si="1"/>
        <v>0</v>
      </c>
      <c r="L34" s="73">
        <f t="shared" si="1"/>
        <v>4.2986332498945526E-2</v>
      </c>
      <c r="M34" s="72">
        <v>145</v>
      </c>
      <c r="N34" s="73">
        <v>415</v>
      </c>
      <c r="O34" s="73">
        <f t="shared" si="2"/>
        <v>4.1053227633069085</v>
      </c>
      <c r="P34" s="72">
        <f t="shared" si="3"/>
        <v>0.12032473180632067</v>
      </c>
    </row>
    <row r="35" spans="1:16" ht="14.25" thickBot="1">
      <c r="A35" s="46"/>
      <c r="B35" s="44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5"/>
      <c r="N35" s="45"/>
      <c r="O35" s="45"/>
      <c r="P35" s="46"/>
    </row>
    <row r="36" spans="1:16" ht="14.25">
      <c r="A36" s="84" t="s">
        <v>86</v>
      </c>
      <c r="B36" s="78">
        <f>AVERAGE(H3:H34)/100</f>
        <v>9.4490881183598011E-4</v>
      </c>
      <c r="C36" s="89" t="s">
        <v>99</v>
      </c>
      <c r="D36" s="90"/>
      <c r="E36" s="46"/>
      <c r="F36" s="46"/>
      <c r="G36" s="46"/>
      <c r="H36" s="46"/>
      <c r="I36" s="46"/>
      <c r="J36" s="46"/>
      <c r="K36" s="46"/>
      <c r="L36" s="46"/>
      <c r="M36" s="45"/>
      <c r="N36" s="45"/>
      <c r="O36" s="45"/>
      <c r="P36" s="46"/>
    </row>
    <row r="37" spans="1:16" ht="15" thickBot="1">
      <c r="A37" s="85" t="s">
        <v>87</v>
      </c>
      <c r="B37" s="79">
        <f>AVERAGE(I3:I34)/100</f>
        <v>4.5791567410076117E-2</v>
      </c>
      <c r="C37" s="88"/>
      <c r="D37" s="90"/>
      <c r="E37" s="46"/>
      <c r="F37" s="46"/>
      <c r="G37" s="46"/>
      <c r="H37" s="46"/>
      <c r="I37" s="46"/>
      <c r="J37" s="46"/>
      <c r="K37" s="46"/>
      <c r="L37" s="46"/>
      <c r="M37" s="45"/>
      <c r="N37" s="45"/>
      <c r="O37" s="45"/>
      <c r="P37" s="46"/>
    </row>
    <row r="38" spans="1:16" ht="14.25">
      <c r="A38" s="84" t="s">
        <v>88</v>
      </c>
      <c r="B38" s="78">
        <f>AVERAGE(K3:K34)/100</f>
        <v>1.9341442212711357E-6</v>
      </c>
      <c r="C38" s="89" t="s">
        <v>100</v>
      </c>
      <c r="D38" s="90"/>
      <c r="E38" s="46"/>
      <c r="F38" s="46"/>
      <c r="G38" s="46"/>
      <c r="H38" s="46"/>
      <c r="I38" s="46"/>
      <c r="J38" s="46"/>
      <c r="K38" s="46"/>
      <c r="L38" s="46"/>
      <c r="M38" s="45"/>
      <c r="N38" s="45"/>
      <c r="O38" s="45"/>
      <c r="P38" s="46"/>
    </row>
    <row r="39" spans="1:16" ht="15" thickBot="1">
      <c r="A39" s="86" t="s">
        <v>89</v>
      </c>
      <c r="B39" s="80">
        <f>AVERAGE(L3:L34)/100</f>
        <v>2.4053574318737888E-3</v>
      </c>
      <c r="C39" s="88"/>
      <c r="D39" s="90"/>
      <c r="E39" s="46"/>
      <c r="F39" s="46"/>
      <c r="G39" s="46"/>
      <c r="H39" s="46"/>
      <c r="I39" s="46"/>
      <c r="J39" s="46"/>
      <c r="K39" s="46"/>
      <c r="L39" s="46"/>
      <c r="M39" s="45"/>
      <c r="N39" s="45"/>
      <c r="O39" s="45"/>
      <c r="P39" s="46"/>
    </row>
    <row r="40" spans="1:16" ht="15">
      <c r="A40" s="77" t="s">
        <v>90</v>
      </c>
      <c r="B40" s="81">
        <f>_xlfn.NORM.INV(B36,0,1)</f>
        <v>-3.1070228942953979</v>
      </c>
      <c r="C40" s="46"/>
      <c r="D40" s="90"/>
      <c r="E40" s="46"/>
      <c r="F40" s="46"/>
      <c r="G40" s="46"/>
      <c r="H40" s="46"/>
      <c r="I40" s="46"/>
      <c r="J40" s="46"/>
      <c r="K40" s="46"/>
      <c r="L40" s="46"/>
      <c r="M40" s="45"/>
      <c r="N40" s="45"/>
      <c r="O40" s="45"/>
      <c r="P40" s="46"/>
    </row>
    <row r="41" spans="1:16" ht="15.75" thickBot="1">
      <c r="A41" s="77" t="s">
        <v>91</v>
      </c>
      <c r="B41" s="81">
        <f>_xlfn.NORM.INV(B37,0,1)</f>
        <v>-1.6871051507660493</v>
      </c>
      <c r="C41" s="46"/>
      <c r="D41" s="90"/>
      <c r="E41" s="46"/>
      <c r="F41" s="46"/>
      <c r="G41" s="46"/>
      <c r="H41" s="46"/>
      <c r="I41" s="46"/>
      <c r="J41" s="46"/>
      <c r="K41" s="46"/>
      <c r="L41" s="46"/>
      <c r="M41" s="45"/>
      <c r="N41" s="45"/>
      <c r="O41" s="45"/>
      <c r="P41" s="46"/>
    </row>
    <row r="42" spans="1:16" ht="14.25">
      <c r="A42" s="84" t="s">
        <v>93</v>
      </c>
      <c r="B42" s="78">
        <v>7.1859999999999993E-2</v>
      </c>
      <c r="C42" s="89" t="s">
        <v>98</v>
      </c>
      <c r="D42" s="90" t="s">
        <v>101</v>
      </c>
      <c r="E42" s="46"/>
      <c r="F42" s="46"/>
      <c r="G42" s="46"/>
      <c r="H42" s="46"/>
      <c r="I42" s="46"/>
      <c r="J42" s="46"/>
      <c r="K42" s="46"/>
      <c r="L42" s="46"/>
      <c r="M42" s="45"/>
      <c r="N42" s="45"/>
      <c r="O42" s="45"/>
      <c r="P42" s="46"/>
    </row>
    <row r="43" spans="1:16" ht="13.5" thickBot="1">
      <c r="A43" s="86" t="s">
        <v>94</v>
      </c>
      <c r="B43" s="82">
        <v>3.1921847621820855E-2</v>
      </c>
      <c r="C43" s="88"/>
      <c r="D43" s="90" t="s">
        <v>101</v>
      </c>
      <c r="E43" s="46"/>
      <c r="F43" s="46"/>
      <c r="G43" s="46"/>
      <c r="H43" s="46"/>
      <c r="I43" s="46"/>
      <c r="J43" s="46"/>
      <c r="K43" s="46"/>
      <c r="L43" s="46"/>
      <c r="M43" s="45"/>
      <c r="N43" s="45"/>
      <c r="O43" s="45"/>
      <c r="P43" s="46"/>
    </row>
    <row r="44" spans="1:16" ht="15">
      <c r="A44" s="77" t="s">
        <v>92</v>
      </c>
      <c r="B44" s="81">
        <f>bivnor(B40,B40,B42)</f>
        <v>1.9341037523184275E-6</v>
      </c>
    </row>
    <row r="45" spans="1:16">
      <c r="A45" s="77" t="s">
        <v>92</v>
      </c>
      <c r="B45" s="83">
        <f>bivnor(B41,B41,B43)</f>
        <v>2.4054001942953613E-3</v>
      </c>
    </row>
  </sheetData>
  <mergeCells count="4">
    <mergeCell ref="A1:P1"/>
    <mergeCell ref="C36:C37"/>
    <mergeCell ref="C38:C39"/>
    <mergeCell ref="C42:C43"/>
  </mergeCells>
  <phoneticPr fontId="1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6AD0-EBC6-4FA7-B2BE-F8CCEE42A1AE}">
  <sheetPr codeName="Sheet3"/>
  <dimension ref="A1:AM533"/>
  <sheetViews>
    <sheetView topLeftCell="G1" zoomScaleNormal="100" workbookViewId="0">
      <selection activeCell="T44" sqref="T44"/>
    </sheetView>
  </sheetViews>
  <sheetFormatPr defaultColWidth="8.85546875" defaultRowHeight="12.75"/>
  <cols>
    <col min="1" max="1" width="6.42578125" customWidth="1"/>
    <col min="2" max="2" width="19.5703125" customWidth="1"/>
    <col min="3" max="3" width="8" customWidth="1"/>
    <col min="4" max="4" width="8.28515625" customWidth="1"/>
    <col min="5" max="5" width="46.42578125" bestFit="1" customWidth="1"/>
    <col min="6" max="6" width="37.5703125" customWidth="1"/>
    <col min="7" max="7" width="14.7109375" customWidth="1"/>
    <col min="8" max="8" width="11.28515625" customWidth="1"/>
    <col min="9" max="9" width="10.28515625" bestFit="1" customWidth="1"/>
    <col min="10" max="10" width="10.28515625" customWidth="1"/>
    <col min="11" max="11" width="10.28515625" bestFit="1" customWidth="1"/>
    <col min="12" max="12" width="12.28515625" bestFit="1" customWidth="1"/>
    <col min="13" max="15" width="10.5703125" bestFit="1" customWidth="1"/>
    <col min="16" max="16" width="12.7109375" bestFit="1" customWidth="1"/>
    <col min="17" max="26" width="10" bestFit="1" customWidth="1"/>
    <col min="27" max="27" width="10" customWidth="1"/>
    <col min="28" max="29" width="13.5703125" bestFit="1" customWidth="1"/>
    <col min="30" max="37" width="10" bestFit="1" customWidth="1"/>
    <col min="38" max="38" width="11.7109375" customWidth="1"/>
  </cols>
  <sheetData>
    <row r="1" spans="1:39">
      <c r="A1" s="9" t="s">
        <v>9</v>
      </c>
      <c r="E1" s="38" t="s">
        <v>102</v>
      </c>
      <c r="F1" s="2"/>
      <c r="G1" s="1"/>
      <c r="H1" s="10"/>
    </row>
    <row r="2" spans="1:39" ht="15.75">
      <c r="A2" s="5" t="s">
        <v>14</v>
      </c>
      <c r="B2" s="5">
        <v>9.6705697769803147E-4</v>
      </c>
      <c r="C2" s="11"/>
      <c r="D2" s="92"/>
      <c r="E2" s="93"/>
      <c r="F2" s="94" t="s">
        <v>103</v>
      </c>
      <c r="G2" s="4">
        <f>'Discrete Distribution'!A2</f>
        <v>7.125813909830728</v>
      </c>
      <c r="H2" s="4">
        <v>6.4094981492696608</v>
      </c>
      <c r="I2" s="4">
        <v>5.8122259495159136</v>
      </c>
      <c r="J2" s="4">
        <v>5.2755509865158805</v>
      </c>
      <c r="K2" s="4">
        <v>4.777164503502596</v>
      </c>
      <c r="L2" s="4">
        <v>4.3055479533511987</v>
      </c>
      <c r="M2" s="4">
        <v>3.8537554854714444</v>
      </c>
      <c r="N2" s="4">
        <v>3.4171674928185709</v>
      </c>
      <c r="O2" s="4">
        <v>2.9924908250023741</v>
      </c>
      <c r="P2" s="4">
        <v>2.5772495377323175</v>
      </c>
      <c r="Q2" s="4">
        <v>2.1694991836061122</v>
      </c>
      <c r="R2" s="4">
        <v>1.7676541094632017</v>
      </c>
      <c r="S2" s="4">
        <v>1.3703764109528718</v>
      </c>
      <c r="T2" s="4">
        <v>0.97650046358968279</v>
      </c>
      <c r="U2" s="4">
        <v>0.58497876543593241</v>
      </c>
      <c r="V2" s="4">
        <v>0.19484074156939934</v>
      </c>
      <c r="W2" s="4">
        <v>-0.19484074156939934</v>
      </c>
      <c r="X2" s="4">
        <v>-0.58497876543593241</v>
      </c>
      <c r="Y2" s="4">
        <v>-0.97650046358968279</v>
      </c>
      <c r="Z2" s="4">
        <v>-1.3703764109528718</v>
      </c>
      <c r="AA2" s="4">
        <v>-1.7676541094632017</v>
      </c>
      <c r="AB2">
        <v>-2.1694991836061122</v>
      </c>
      <c r="AC2">
        <v>-2.5772495377323175</v>
      </c>
      <c r="AD2" s="4">
        <v>-2.9924908250023741</v>
      </c>
      <c r="AE2" s="4">
        <v>-3.4171674928185709</v>
      </c>
      <c r="AF2" s="4">
        <v>-3.8537554854714444</v>
      </c>
      <c r="AG2" s="4">
        <v>-4.3055479533511987</v>
      </c>
      <c r="AH2" s="4">
        <v>-4.777164503502596</v>
      </c>
      <c r="AI2" s="4">
        <v>-5.2755509865158805</v>
      </c>
      <c r="AJ2" s="4">
        <v>-5.8122259495159136</v>
      </c>
      <c r="AK2" s="4">
        <v>-6.4094981492696608</v>
      </c>
      <c r="AL2" s="4">
        <v>-7.125813909830728</v>
      </c>
      <c r="AM2" s="4"/>
    </row>
    <row r="3" spans="1:39">
      <c r="A3" s="5" t="s">
        <v>6</v>
      </c>
      <c r="B3" s="8">
        <v>0.401066426167699</v>
      </c>
      <c r="C3" s="8"/>
      <c r="D3" s="92"/>
      <c r="E3" s="95"/>
      <c r="F3" s="94" t="s">
        <v>104</v>
      </c>
      <c r="G3" s="37">
        <v>3.0974313976850067E-12</v>
      </c>
      <c r="H3" s="37">
        <v>3.0687676494147169E-10</v>
      </c>
      <c r="I3" s="37">
        <v>1.0346434189931964E-8</v>
      </c>
      <c r="J3" s="37">
        <v>1.8587831042048582E-7</v>
      </c>
      <c r="K3" s="37">
        <v>2.1369198300785822E-6</v>
      </c>
      <c r="L3" s="37">
        <v>1.7337640204613515E-5</v>
      </c>
      <c r="M3" s="37">
        <v>1.0541646007925857E-4</v>
      </c>
      <c r="N3" s="37">
        <v>4.9992883985248147E-4</v>
      </c>
      <c r="O3" s="37">
        <v>1.9019074802430671E-3</v>
      </c>
      <c r="P3" s="37">
        <v>5.9242168164729088E-3</v>
      </c>
      <c r="Q3" s="36">
        <v>1.5340415889209393E-2</v>
      </c>
      <c r="R3" s="36">
        <v>3.340185034481407E-2</v>
      </c>
      <c r="S3" s="36">
        <v>6.1681145194339065E-2</v>
      </c>
      <c r="T3" s="36">
        <v>9.721282100629125E-2</v>
      </c>
      <c r="U3" s="36">
        <v>0.13134554887729719</v>
      </c>
      <c r="V3" s="36">
        <v>0.15256707799664646</v>
      </c>
      <c r="W3" s="36">
        <v>0.15256707799664646</v>
      </c>
      <c r="X3" s="36">
        <v>0.13134554887729719</v>
      </c>
      <c r="Y3" s="36">
        <v>9.721282100629125E-2</v>
      </c>
      <c r="Z3" s="36">
        <v>6.1681145194339065E-2</v>
      </c>
      <c r="AA3" s="36">
        <v>3.340185034481407E-2</v>
      </c>
      <c r="AB3" s="36">
        <v>1.5340415889209393E-2</v>
      </c>
      <c r="AC3" s="36">
        <v>5.9242168164729088E-3</v>
      </c>
      <c r="AD3" s="36">
        <v>1.9019074802430671E-3</v>
      </c>
      <c r="AE3" s="36">
        <v>4.9992883985248147E-4</v>
      </c>
      <c r="AF3" s="36">
        <v>1.0541646007925857E-4</v>
      </c>
      <c r="AG3" s="36">
        <v>1.7337640204613515E-5</v>
      </c>
      <c r="AH3" s="36">
        <v>2.1369198300785822E-6</v>
      </c>
      <c r="AI3" s="36">
        <v>1.8587831042048582E-7</v>
      </c>
      <c r="AJ3" s="36">
        <v>1.0346434189931964E-8</v>
      </c>
      <c r="AK3" s="36">
        <v>3.0687676494147169E-10</v>
      </c>
      <c r="AL3" s="36">
        <v>3.0974313976850067E-12</v>
      </c>
      <c r="AM3" s="5"/>
    </row>
    <row r="4" spans="1:39">
      <c r="E4" s="96" t="s">
        <v>105</v>
      </c>
      <c r="F4" s="93"/>
    </row>
    <row r="5" spans="1:39">
      <c r="A5" s="13" t="s">
        <v>106</v>
      </c>
      <c r="B5" s="8"/>
      <c r="D5" s="5"/>
      <c r="E5" s="14" t="s">
        <v>7</v>
      </c>
      <c r="F5" s="5"/>
      <c r="G5" s="14"/>
      <c r="H5" s="5"/>
      <c r="J5" s="2"/>
      <c r="K5" s="2"/>
      <c r="L5" s="2"/>
      <c r="M5" s="2"/>
      <c r="N5" s="2"/>
      <c r="O5" s="2"/>
      <c r="P5" s="2"/>
    </row>
    <row r="6" spans="1:39">
      <c r="A6" s="5" t="s">
        <v>25</v>
      </c>
      <c r="B6" s="22">
        <f>SUM(E10:E41)</f>
        <v>-63.908852386238557</v>
      </c>
      <c r="E6" s="15"/>
      <c r="F6" s="97" t="s">
        <v>107</v>
      </c>
      <c r="G6" s="27">
        <f>NORMSDIST((NORMSINV($B$2)-$B$3*G$2)/(1-$B$3^2)^0.5)</f>
        <v>3.9074884387351791E-11</v>
      </c>
      <c r="H6" s="27">
        <f t="shared" ref="H6:AL6" si="0">NORMSDIST((NORMSINV($B$2)-$B$3*H$2)/(1-$B$3^2)^0.5)</f>
        <v>2.9986709991513962E-10</v>
      </c>
      <c r="I6" s="27">
        <f t="shared" si="0"/>
        <v>1.5239094685464272E-9</v>
      </c>
      <c r="J6" s="27">
        <f t="shared" si="0"/>
        <v>6.2036326907941209E-9</v>
      </c>
      <c r="K6" s="27">
        <f t="shared" si="0"/>
        <v>2.1773401653858019E-8</v>
      </c>
      <c r="L6" s="27">
        <f t="shared" si="0"/>
        <v>6.8455752021963447E-8</v>
      </c>
      <c r="M6" s="27">
        <f t="shared" si="0"/>
        <v>1.9730444626072683E-7</v>
      </c>
      <c r="N6" s="27">
        <f t="shared" si="0"/>
        <v>5.2937496344178738E-7</v>
      </c>
      <c r="O6" s="27">
        <f t="shared" si="0"/>
        <v>1.336562487642325E-6</v>
      </c>
      <c r="P6" s="27">
        <f t="shared" si="0"/>
        <v>3.2010140465898016E-6</v>
      </c>
      <c r="Q6" s="27">
        <f t="shared" si="0"/>
        <v>7.3166955462804157E-6</v>
      </c>
      <c r="R6" s="27">
        <f t="shared" si="0"/>
        <v>1.6038323642310534E-5</v>
      </c>
      <c r="S6" s="27">
        <f t="shared" si="0"/>
        <v>3.3845063136028298E-5</v>
      </c>
      <c r="T6" s="27">
        <f t="shared" si="0"/>
        <v>6.8975182270156267E-5</v>
      </c>
      <c r="U6" s="27">
        <f t="shared" si="0"/>
        <v>1.3610861461581112E-4</v>
      </c>
      <c r="V6" s="27">
        <f t="shared" si="0"/>
        <v>2.6062990507067088E-4</v>
      </c>
      <c r="W6" s="27">
        <f t="shared" si="0"/>
        <v>4.851918055781767E-4</v>
      </c>
      <c r="X6" s="27">
        <f t="shared" si="0"/>
        <v>8.7950841968908425E-4</v>
      </c>
      <c r="Y6" s="27">
        <f t="shared" si="0"/>
        <v>1.5545119803287934E-3</v>
      </c>
      <c r="Z6" s="27">
        <f t="shared" si="0"/>
        <v>2.6821685052278257E-3</v>
      </c>
      <c r="AA6" s="27">
        <f t="shared" si="0"/>
        <v>4.5223068669127736E-3</v>
      </c>
      <c r="AB6" s="27">
        <f t="shared" si="0"/>
        <v>7.4577027853103888E-3</v>
      </c>
      <c r="AC6" s="27">
        <f t="shared" si="0"/>
        <v>1.203830675007741E-2</v>
      </c>
      <c r="AD6" s="27">
        <f t="shared" si="0"/>
        <v>1.9034886903842585E-2</v>
      </c>
      <c r="AE6" s="27">
        <f t="shared" si="0"/>
        <v>2.9501572803215265E-2</v>
      </c>
      <c r="AF6" s="27">
        <f t="shared" si="0"/>
        <v>4.4846245540851933E-2</v>
      </c>
      <c r="AG6" s="27">
        <f t="shared" si="0"/>
        <v>6.6908626924963924E-2</v>
      </c>
      <c r="AH6" s="27">
        <f t="shared" si="0"/>
        <v>9.8051668863207764E-2</v>
      </c>
      <c r="AI6" s="27">
        <f t="shared" si="0"/>
        <v>0.14129290470572403</v>
      </c>
      <c r="AJ6" s="27">
        <f t="shared" si="0"/>
        <v>0.20057741894545453</v>
      </c>
      <c r="AK6" s="27">
        <f t="shared" si="0"/>
        <v>0.28161126601710657</v>
      </c>
      <c r="AL6" s="27">
        <f t="shared" si="0"/>
        <v>0.39571937745122826</v>
      </c>
    </row>
    <row r="7" spans="1:39">
      <c r="A7" s="5"/>
      <c r="B7" s="110" t="s">
        <v>118</v>
      </c>
      <c r="C7" s="98"/>
      <c r="E7" s="15"/>
      <c r="G7" s="99" t="s">
        <v>22</v>
      </c>
      <c r="H7" s="100"/>
      <c r="I7" s="100"/>
      <c r="J7" s="100"/>
      <c r="K7" s="100"/>
      <c r="L7" s="2"/>
      <c r="M7" s="2"/>
      <c r="N7" s="2"/>
      <c r="O7" s="2"/>
      <c r="P7" s="2"/>
    </row>
    <row r="8" spans="1:39">
      <c r="A8" s="13" t="s">
        <v>9</v>
      </c>
      <c r="B8" s="4"/>
      <c r="C8" s="10"/>
      <c r="E8" s="14"/>
      <c r="G8" s="16"/>
      <c r="H8" s="2"/>
      <c r="I8" s="2"/>
      <c r="J8" s="2"/>
      <c r="K8" s="2"/>
      <c r="L8" s="2"/>
      <c r="M8" s="2"/>
      <c r="N8" s="2"/>
      <c r="O8" s="2"/>
      <c r="P8" s="2"/>
    </row>
    <row r="9" spans="1:39" ht="16.5">
      <c r="A9" s="1" t="s">
        <v>4</v>
      </c>
      <c r="B9" s="1" t="s">
        <v>108</v>
      </c>
      <c r="C9" s="1" t="s">
        <v>109</v>
      </c>
      <c r="D9" s="1"/>
      <c r="E9" s="13" t="s">
        <v>110</v>
      </c>
      <c r="G9" s="101" t="s">
        <v>111</v>
      </c>
      <c r="H9" s="2"/>
      <c r="I9" s="2"/>
      <c r="J9" s="2"/>
      <c r="K9" s="2"/>
      <c r="L9" s="2"/>
      <c r="M9" s="2"/>
      <c r="N9" s="2"/>
      <c r="O9" s="2"/>
      <c r="P9" s="2"/>
      <c r="S9" s="17"/>
      <c r="T9" s="17"/>
      <c r="U9" s="17"/>
      <c r="V9" s="17"/>
      <c r="W9" s="17"/>
      <c r="X9" s="17"/>
      <c r="Y9" s="17"/>
      <c r="Z9" s="17"/>
      <c r="AA9" s="17"/>
    </row>
    <row r="10" spans="1:39">
      <c r="A10">
        <v>1987</v>
      </c>
      <c r="B10">
        <v>1335</v>
      </c>
      <c r="C10">
        <v>0</v>
      </c>
      <c r="E10" s="18">
        <f>LN(SUMPRODUCT(G10:AL10,G$3:AL$3))</f>
        <v>-0.58781917956006424</v>
      </c>
      <c r="F10" s="93" t="s">
        <v>112</v>
      </c>
      <c r="G10" s="102">
        <f>COMBIN($B10,$C10)*G$6^$C10*(1-G$6)^($B10-$C10)</f>
        <v>0.9999999478350704</v>
      </c>
      <c r="H10" s="102">
        <f t="shared" ref="H10:W25" si="1">COMBIN($B10,$C10)*H$6^$C10*(1-H$6)^($B10-$C10)</f>
        <v>0.999999599677458</v>
      </c>
      <c r="I10" s="102">
        <f t="shared" si="1"/>
        <v>0.99999796558294529</v>
      </c>
      <c r="J10" s="102">
        <f t="shared" si="1"/>
        <v>0.99999171818455745</v>
      </c>
      <c r="K10" s="102">
        <f t="shared" si="1"/>
        <v>0.99997093293092132</v>
      </c>
      <c r="L10" s="102">
        <f t="shared" si="1"/>
        <v>0.99990861574363943</v>
      </c>
      <c r="M10" s="102">
        <f t="shared" si="1"/>
        <v>0.99973663322546047</v>
      </c>
      <c r="N10" s="102">
        <f t="shared" si="1"/>
        <v>0.99929353390153919</v>
      </c>
      <c r="O10" s="102">
        <f t="shared" si="1"/>
        <v>0.99821727882496236</v>
      </c>
      <c r="P10" s="102">
        <f t="shared" si="1"/>
        <v>0.99573575722109375</v>
      </c>
      <c r="Q10" s="102">
        <f t="shared" si="1"/>
        <v>0.99027972596045466</v>
      </c>
      <c r="R10" s="102">
        <f t="shared" si="1"/>
        <v>0.97881626157544199</v>
      </c>
      <c r="S10" s="102">
        <f t="shared" si="1"/>
        <v>0.95582166720013784</v>
      </c>
      <c r="T10" s="102">
        <f t="shared" si="1"/>
        <v>0.91202758362853198</v>
      </c>
      <c r="U10" s="102">
        <f t="shared" si="1"/>
        <v>0.83383697659244871</v>
      </c>
      <c r="V10" s="102">
        <f t="shared" si="1"/>
        <v>0.70610856886194495</v>
      </c>
      <c r="W10" s="102">
        <f t="shared" si="1"/>
        <v>0.52314937272295192</v>
      </c>
      <c r="X10" s="102">
        <f t="shared" ref="X10:AM25" si="2">COMBIN($B10,$C10)*X$6^$C10*(1-X$6)^($B10-$C10)</f>
        <v>0.30892387925526388</v>
      </c>
      <c r="Y10" s="102">
        <f t="shared" si="2"/>
        <v>0.1253195772732566</v>
      </c>
      <c r="Z10" s="102">
        <f t="shared" si="2"/>
        <v>2.7722648293343252E-2</v>
      </c>
      <c r="AA10" s="102">
        <f t="shared" si="2"/>
        <v>2.3555708547184705E-3</v>
      </c>
      <c r="AB10" s="102">
        <f t="shared" si="2"/>
        <v>4.570314695379821E-5</v>
      </c>
      <c r="AC10" s="102">
        <f t="shared" si="2"/>
        <v>9.5069504149101811E-8</v>
      </c>
      <c r="AD10" s="102">
        <f t="shared" si="2"/>
        <v>7.2028752639773036E-12</v>
      </c>
      <c r="AE10" s="102">
        <f t="shared" si="2"/>
        <v>4.3461621794023535E-18</v>
      </c>
      <c r="AF10" s="102">
        <f t="shared" si="2"/>
        <v>2.4994146266383671E-27</v>
      </c>
      <c r="AG10" s="102">
        <f t="shared" si="2"/>
        <v>7.0594766898258444E-41</v>
      </c>
      <c r="AH10" s="102">
        <f t="shared" si="2"/>
        <v>1.4706699170997533E-60</v>
      </c>
      <c r="AI10" s="102">
        <f t="shared" si="2"/>
        <v>4.8210718162579877E-89</v>
      </c>
      <c r="AJ10" s="102">
        <f t="shared" si="2"/>
        <v>1.6088269535348055E-130</v>
      </c>
      <c r="AK10" s="102">
        <f t="shared" si="2"/>
        <v>1.7375999666729176E-192</v>
      </c>
      <c r="AL10" s="102">
        <f t="shared" si="2"/>
        <v>8.9871445899288295E-293</v>
      </c>
    </row>
    <row r="11" spans="1:39">
      <c r="A11">
        <v>1988</v>
      </c>
      <c r="B11">
        <v>1349</v>
      </c>
      <c r="C11">
        <v>0</v>
      </c>
      <c r="E11" s="18">
        <f t="shared" ref="E11:E41" si="3">LN(SUMPRODUCT(G11:AL11,G$3:AL$3))</f>
        <v>-0.59159081262178981</v>
      </c>
      <c r="G11" s="102">
        <f t="shared" ref="G11:V26" si="4">COMBIN($B11,$C11)*G$6^$C11*(1-G$6)^($B11-$C11)</f>
        <v>0.99999994728802255</v>
      </c>
      <c r="H11" s="102">
        <f t="shared" si="4"/>
        <v>0.99999959547931982</v>
      </c>
      <c r="I11" s="102">
        <f t="shared" si="4"/>
        <v>0.9999979442482565</v>
      </c>
      <c r="J11" s="102">
        <f t="shared" si="4"/>
        <v>0.9999916313344217</v>
      </c>
      <c r="K11" s="102">
        <f t="shared" si="4"/>
        <v>0.99997062811220161</v>
      </c>
      <c r="L11" s="102">
        <f t="shared" si="4"/>
        <v>0.99990765745111754</v>
      </c>
      <c r="M11" s="102">
        <f t="shared" si="4"/>
        <v>0.99973387169424355</v>
      </c>
      <c r="N11" s="102">
        <f t="shared" si="4"/>
        <v>0.99928612791333149</v>
      </c>
      <c r="O11" s="102">
        <f t="shared" si="4"/>
        <v>0.99819860047046172</v>
      </c>
      <c r="P11" s="102">
        <f t="shared" si="4"/>
        <v>0.99569113505149864</v>
      </c>
      <c r="Q11" s="102">
        <f t="shared" si="4"/>
        <v>0.99017829273090996</v>
      </c>
      <c r="R11" s="102">
        <f t="shared" si="4"/>
        <v>0.97859650447798807</v>
      </c>
      <c r="S11" s="102">
        <f t="shared" si="4"/>
        <v>0.95536886899553741</v>
      </c>
      <c r="T11" s="102">
        <f t="shared" si="4"/>
        <v>0.91114727660885664</v>
      </c>
      <c r="U11" s="102">
        <f t="shared" si="4"/>
        <v>0.83224948799127019</v>
      </c>
      <c r="V11" s="102">
        <f t="shared" si="4"/>
        <v>0.70353646695505867</v>
      </c>
      <c r="W11" s="102">
        <f t="shared" si="1"/>
        <v>0.51960696907903881</v>
      </c>
      <c r="X11" s="102">
        <f t="shared" si="2"/>
        <v>0.30514173247217707</v>
      </c>
      <c r="Y11" s="102">
        <f t="shared" si="2"/>
        <v>0.12261961371539852</v>
      </c>
      <c r="Z11" s="102">
        <f t="shared" si="2"/>
        <v>2.6699608424247505E-2</v>
      </c>
      <c r="AA11" s="102">
        <f t="shared" si="2"/>
        <v>2.2107398012754043E-3</v>
      </c>
      <c r="AB11" s="102">
        <f t="shared" si="2"/>
        <v>4.1155931076890109E-5</v>
      </c>
      <c r="AC11" s="102">
        <f t="shared" si="2"/>
        <v>8.0242178309759454E-8</v>
      </c>
      <c r="AD11" s="102">
        <f t="shared" si="2"/>
        <v>5.5037128687779893E-12</v>
      </c>
      <c r="AE11" s="102">
        <f t="shared" si="2"/>
        <v>2.8578118376666836E-18</v>
      </c>
      <c r="AF11" s="102">
        <f t="shared" si="2"/>
        <v>1.3148140210094921E-27</v>
      </c>
      <c r="AG11" s="102">
        <f t="shared" si="2"/>
        <v>2.6773857453246739E-41</v>
      </c>
      <c r="AH11" s="102">
        <f t="shared" si="2"/>
        <v>3.4678351122478311E-61</v>
      </c>
      <c r="AI11" s="102">
        <f t="shared" si="2"/>
        <v>5.7144484635828277E-90</v>
      </c>
      <c r="AJ11" s="102">
        <f t="shared" si="2"/>
        <v>7.0045315279033088E-132</v>
      </c>
      <c r="AK11" s="102">
        <f t="shared" si="2"/>
        <v>1.6942714045456196E-194</v>
      </c>
      <c r="AL11" s="102">
        <f t="shared" si="2"/>
        <v>7.7797041250514422E-296</v>
      </c>
    </row>
    <row r="12" spans="1:39">
      <c r="A12">
        <v>1989</v>
      </c>
      <c r="B12">
        <v>1392</v>
      </c>
      <c r="C12">
        <v>3</v>
      </c>
      <c r="E12" s="18">
        <f t="shared" si="3"/>
        <v>-2.9741317998594132</v>
      </c>
      <c r="G12" s="102">
        <f t="shared" si="4"/>
        <v>2.6762273009296783E-23</v>
      </c>
      <c r="H12" s="102">
        <f t="shared" si="4"/>
        <v>1.2095287415515304E-20</v>
      </c>
      <c r="I12" s="102">
        <f t="shared" si="4"/>
        <v>1.5874735512801532E-18</v>
      </c>
      <c r="J12" s="102">
        <f t="shared" si="4"/>
        <v>1.070938176684837E-16</v>
      </c>
      <c r="K12" s="102">
        <f t="shared" si="4"/>
        <v>4.6301560991098109E-15</v>
      </c>
      <c r="L12" s="102">
        <f t="shared" si="4"/>
        <v>1.4388597285769163E-13</v>
      </c>
      <c r="M12" s="102">
        <f t="shared" si="4"/>
        <v>3.4444628952668242E-12</v>
      </c>
      <c r="N12" s="102">
        <f t="shared" si="4"/>
        <v>6.6496803698758612E-11</v>
      </c>
      <c r="O12" s="102">
        <f t="shared" si="4"/>
        <v>1.069033850173741E-9</v>
      </c>
      <c r="P12" s="102">
        <f t="shared" si="4"/>
        <v>1.4647438659366784E-8</v>
      </c>
      <c r="Q12" s="102">
        <f t="shared" si="4"/>
        <v>1.7392466041182692E-7</v>
      </c>
      <c r="R12" s="102">
        <f t="shared" si="4"/>
        <v>1.8098053920567928E-6</v>
      </c>
      <c r="S12" s="102">
        <f t="shared" si="4"/>
        <v>1.659201102138171E-5</v>
      </c>
      <c r="T12" s="102">
        <f t="shared" si="4"/>
        <v>1.3375154395332662E-4</v>
      </c>
      <c r="U12" s="102">
        <f t="shared" si="4"/>
        <v>9.3621518873430315E-4</v>
      </c>
      <c r="V12" s="102">
        <f t="shared" si="4"/>
        <v>5.52918435939425E-3</v>
      </c>
      <c r="W12" s="102">
        <f t="shared" si="1"/>
        <v>2.6110462484543968E-2</v>
      </c>
      <c r="X12" s="102">
        <f t="shared" si="2"/>
        <v>8.9901342691399683E-2</v>
      </c>
      <c r="Y12" s="102">
        <f t="shared" si="2"/>
        <v>0.19415403859962341</v>
      </c>
      <c r="Z12" s="102">
        <f t="shared" si="2"/>
        <v>0.20755650316256841</v>
      </c>
      <c r="AA12" s="102">
        <f t="shared" si="2"/>
        <v>7.650836827591892E-2</v>
      </c>
      <c r="AB12" s="102">
        <f t="shared" si="2"/>
        <v>5.675949099606825E-3</v>
      </c>
      <c r="AC12" s="102">
        <f t="shared" si="2"/>
        <v>3.8684151273464584E-5</v>
      </c>
      <c r="AD12" s="102">
        <f t="shared" si="2"/>
        <v>7.893672148352903E-9</v>
      </c>
      <c r="AE12" s="102">
        <f t="shared" si="2"/>
        <v>9.935563236032915E-15</v>
      </c>
      <c r="AF12" s="102">
        <f t="shared" si="2"/>
        <v>8.4879731673747253E-24</v>
      </c>
      <c r="AG12" s="102">
        <f t="shared" si="2"/>
        <v>2.2540013982313531E-37</v>
      </c>
      <c r="AH12" s="102">
        <f t="shared" si="2"/>
        <v>2.3633045853524981E-57</v>
      </c>
      <c r="AI12" s="102">
        <f t="shared" si="2"/>
        <v>1.6329291856235106E-86</v>
      </c>
      <c r="AJ12" s="102">
        <f t="shared" si="2"/>
        <v>3.274248101451698E-129</v>
      </c>
      <c r="AK12" s="102">
        <f t="shared" si="2"/>
        <v>3.0489021707913573E-193</v>
      </c>
      <c r="AL12" s="102">
        <f t="shared" si="2"/>
        <v>3.8415073236593781E-297</v>
      </c>
    </row>
    <row r="13" spans="1:39">
      <c r="A13">
        <v>1990</v>
      </c>
      <c r="B13">
        <v>1435</v>
      </c>
      <c r="C13">
        <v>2</v>
      </c>
      <c r="E13" s="18">
        <f t="shared" si="3"/>
        <v>-2.3561418005349126</v>
      </c>
      <c r="G13" s="102">
        <f t="shared" si="4"/>
        <v>1.5709647341346126E-15</v>
      </c>
      <c r="H13" s="102">
        <f t="shared" si="4"/>
        <v>9.2518484277011575E-14</v>
      </c>
      <c r="I13" s="102">
        <f t="shared" si="4"/>
        <v>2.3893977109174979E-12</v>
      </c>
      <c r="J13" s="102">
        <f t="shared" si="4"/>
        <v>3.9596732320623643E-11</v>
      </c>
      <c r="K13" s="102">
        <f t="shared" si="4"/>
        <v>4.8776437152844108E-10</v>
      </c>
      <c r="L13" s="102">
        <f t="shared" si="4"/>
        <v>4.8211244829966579E-9</v>
      </c>
      <c r="M13" s="102">
        <f t="shared" si="4"/>
        <v>4.0042576125000769E-8</v>
      </c>
      <c r="N13" s="102">
        <f t="shared" si="4"/>
        <v>2.8811667799458082E-7</v>
      </c>
      <c r="O13" s="102">
        <f t="shared" si="4"/>
        <v>1.8345003138416638E-6</v>
      </c>
      <c r="P13" s="102">
        <f t="shared" si="4"/>
        <v>1.0494314650793261E-5</v>
      </c>
      <c r="Q13" s="102">
        <f t="shared" si="4"/>
        <v>5.4506400963497034E-5</v>
      </c>
      <c r="R13" s="102">
        <f t="shared" si="4"/>
        <v>2.5864707315696365E-4</v>
      </c>
      <c r="S13" s="102">
        <f t="shared" si="4"/>
        <v>1.1227888359616369E-3</v>
      </c>
      <c r="T13" s="102">
        <f t="shared" si="4"/>
        <v>4.4343401044234041E-3</v>
      </c>
      <c r="U13" s="102">
        <f t="shared" si="4"/>
        <v>1.5683036022921797E-2</v>
      </c>
      <c r="V13" s="102">
        <f t="shared" si="4"/>
        <v>4.8105745768781245E-2</v>
      </c>
      <c r="W13" s="102">
        <f t="shared" si="1"/>
        <v>0.12082825101580999</v>
      </c>
      <c r="X13" s="102">
        <f t="shared" si="2"/>
        <v>0.22555550671730076</v>
      </c>
      <c r="Y13" s="102">
        <f t="shared" si="2"/>
        <v>0.26752555985925619</v>
      </c>
      <c r="Z13" s="102">
        <f t="shared" si="2"/>
        <v>0.15771359331530782</v>
      </c>
      <c r="AA13" s="102">
        <f t="shared" si="2"/>
        <v>3.1789045800501022E-2</v>
      </c>
      <c r="AB13" s="102">
        <f t="shared" si="2"/>
        <v>1.2558321229401374E-3</v>
      </c>
      <c r="AC13" s="102">
        <f t="shared" si="2"/>
        <v>4.3258699980676442E-6</v>
      </c>
      <c r="AD13" s="102">
        <f t="shared" si="2"/>
        <v>4.0834446578189485E-10</v>
      </c>
      <c r="AE13" s="102">
        <f t="shared" si="2"/>
        <v>2.0685272340066141E-16</v>
      </c>
      <c r="AF13" s="102">
        <f t="shared" si="2"/>
        <v>5.7655890267515775E-26</v>
      </c>
      <c r="AG13" s="102">
        <f t="shared" si="2"/>
        <v>3.6700913013391242E-40</v>
      </c>
      <c r="AH13" s="102">
        <f t="shared" si="2"/>
        <v>5.8965618728482328E-61</v>
      </c>
      <c r="AI13" s="102">
        <f t="shared" si="2"/>
        <v>3.2551454612610457E-91</v>
      </c>
      <c r="AJ13" s="102">
        <f t="shared" si="2"/>
        <v>1.9748439911023126E-135</v>
      </c>
      <c r="AK13" s="102">
        <f t="shared" si="2"/>
        <v>1.1881004935001982E-201</v>
      </c>
      <c r="AL13" s="102">
        <f t="shared" si="2"/>
        <v>0</v>
      </c>
    </row>
    <row r="14" spans="1:39">
      <c r="A14">
        <v>1991</v>
      </c>
      <c r="B14">
        <v>1472</v>
      </c>
      <c r="C14">
        <v>2</v>
      </c>
      <c r="E14" s="18">
        <f t="shared" si="3"/>
        <v>-2.3472543868842539</v>
      </c>
      <c r="G14" s="102">
        <f t="shared" si="4"/>
        <v>1.6530495266672082E-15</v>
      </c>
      <c r="H14" s="102">
        <f t="shared" si="4"/>
        <v>9.7352685164244639E-14</v>
      </c>
      <c r="I14" s="102">
        <f t="shared" si="4"/>
        <v>2.5142464704852164E-12</v>
      </c>
      <c r="J14" s="102">
        <f t="shared" si="4"/>
        <v>4.166569959739397E-11</v>
      </c>
      <c r="K14" s="102">
        <f t="shared" si="4"/>
        <v>5.132502325224771E-10</v>
      </c>
      <c r="L14" s="102">
        <f t="shared" si="4"/>
        <v>5.0730211806838424E-9</v>
      </c>
      <c r="M14" s="102">
        <f t="shared" si="4"/>
        <v>4.2134541245509074E-8</v>
      </c>
      <c r="N14" s="102">
        <f t="shared" si="4"/>
        <v>3.0316518248328166E-7</v>
      </c>
      <c r="O14" s="102">
        <f t="shared" si="4"/>
        <v>1.9302597002559533E-6</v>
      </c>
      <c r="P14" s="102">
        <f t="shared" si="4"/>
        <v>1.1041347411210299E-5</v>
      </c>
      <c r="Q14" s="102">
        <f t="shared" si="4"/>
        <v>5.7338901089446141E-5</v>
      </c>
      <c r="R14" s="102">
        <f t="shared" si="4"/>
        <v>2.7200023447742863E-4</v>
      </c>
      <c r="S14" s="102">
        <f t="shared" si="4"/>
        <v>1.1799773040436373E-3</v>
      </c>
      <c r="T14" s="102">
        <f t="shared" si="4"/>
        <v>4.6541463608060487E-3</v>
      </c>
      <c r="U14" s="102">
        <f t="shared" si="4"/>
        <v>1.6419589917401466E-2</v>
      </c>
      <c r="V14" s="102">
        <f t="shared" si="4"/>
        <v>5.013347415537224E-2</v>
      </c>
      <c r="W14" s="102">
        <f t="shared" si="1"/>
        <v>0.12487903408094841</v>
      </c>
      <c r="X14" s="102">
        <f t="shared" si="2"/>
        <v>0.2297385718651585</v>
      </c>
      <c r="Y14" s="102">
        <f t="shared" si="2"/>
        <v>0.26575777886004581</v>
      </c>
      <c r="Z14" s="102">
        <f t="shared" si="2"/>
        <v>0.15025577301860901</v>
      </c>
      <c r="AA14" s="102">
        <f t="shared" si="2"/>
        <v>2.8285485192964498E-2</v>
      </c>
      <c r="AB14" s="102">
        <f t="shared" si="2"/>
        <v>1.0017627533454015E-3</v>
      </c>
      <c r="AC14" s="102">
        <f t="shared" si="2"/>
        <v>2.9078821953417219E-6</v>
      </c>
      <c r="AD14" s="102">
        <f t="shared" si="2"/>
        <v>2.1102208787137308E-10</v>
      </c>
      <c r="AE14" s="102">
        <f t="shared" si="2"/>
        <v>7.1876943658340925E-17</v>
      </c>
      <c r="AF14" s="102">
        <f t="shared" si="2"/>
        <v>1.1108994104900054E-26</v>
      </c>
      <c r="AG14" s="102">
        <f t="shared" si="2"/>
        <v>2.9784529413671737E-41</v>
      </c>
      <c r="AH14" s="102">
        <f t="shared" si="2"/>
        <v>1.3628237254120541E-62</v>
      </c>
      <c r="AI14" s="102">
        <f t="shared" si="2"/>
        <v>1.2216779407217048E-93</v>
      </c>
      <c r="AJ14" s="102">
        <f t="shared" si="2"/>
        <v>5.2526619105985946E-139</v>
      </c>
      <c r="AK14" s="102">
        <f t="shared" si="2"/>
        <v>6.0572372724949673E-207</v>
      </c>
      <c r="AL14" s="102">
        <f t="shared" si="2"/>
        <v>0</v>
      </c>
    </row>
    <row r="15" spans="1:39">
      <c r="A15">
        <v>1992</v>
      </c>
      <c r="B15">
        <v>1619</v>
      </c>
      <c r="C15">
        <v>0</v>
      </c>
      <c r="E15" s="18">
        <f t="shared" si="3"/>
        <v>-0.66037380528800749</v>
      </c>
      <c r="G15" s="102">
        <f t="shared" si="4"/>
        <v>0.9999999367378124</v>
      </c>
      <c r="H15" s="102">
        <f t="shared" si="4"/>
        <v>0.99999951451522995</v>
      </c>
      <c r="I15" s="102">
        <f t="shared" si="4"/>
        <v>0.9999975327936339</v>
      </c>
      <c r="J15" s="102">
        <f t="shared" si="4"/>
        <v>0.99998995636899635</v>
      </c>
      <c r="K15" s="102">
        <f t="shared" si="4"/>
        <v>0.99996474948364078</v>
      </c>
      <c r="L15" s="102">
        <f t="shared" si="4"/>
        <v>0.99988917627499019</v>
      </c>
      <c r="M15" s="102">
        <f t="shared" si="4"/>
        <v>0.9996806150843176</v>
      </c>
      <c r="N15" s="102">
        <f t="shared" si="4"/>
        <v>0.99914330887692171</v>
      </c>
      <c r="O15" s="102">
        <f t="shared" si="4"/>
        <v>0.9978384434216967</v>
      </c>
      <c r="P15" s="102">
        <f t="shared" si="4"/>
        <v>0.99483095569002766</v>
      </c>
      <c r="Q15" s="102">
        <f t="shared" si="4"/>
        <v>0.98822411152926248</v>
      </c>
      <c r="R15" s="102">
        <f t="shared" si="4"/>
        <v>0.97436796987568597</v>
      </c>
      <c r="S15" s="102">
        <f t="shared" si="4"/>
        <v>0.9466781706148869</v>
      </c>
      <c r="T15" s="102">
        <f t="shared" si="4"/>
        <v>0.89433516286809867</v>
      </c>
      <c r="U15" s="102">
        <f t="shared" si="4"/>
        <v>0.8022180342889268</v>
      </c>
      <c r="V15" s="102">
        <f t="shared" si="4"/>
        <v>0.6557243257235682</v>
      </c>
      <c r="W15" s="102">
        <f t="shared" si="1"/>
        <v>0.45579316396318492</v>
      </c>
      <c r="X15" s="102">
        <f t="shared" si="2"/>
        <v>0.24061655383489236</v>
      </c>
      <c r="Y15" s="102">
        <f t="shared" si="2"/>
        <v>8.0563217790328601E-2</v>
      </c>
      <c r="Z15" s="102">
        <f t="shared" si="2"/>
        <v>1.2929227797883544E-2</v>
      </c>
      <c r="AA15" s="102">
        <f t="shared" si="2"/>
        <v>6.5020673356794376E-4</v>
      </c>
      <c r="AB15" s="102">
        <f t="shared" si="2"/>
        <v>5.4534171822622863E-6</v>
      </c>
      <c r="AC15" s="102">
        <f t="shared" si="2"/>
        <v>3.0495185041604591E-9</v>
      </c>
      <c r="AD15" s="102">
        <f t="shared" si="2"/>
        <v>3.0698533880228104E-14</v>
      </c>
      <c r="AE15" s="102">
        <f t="shared" si="2"/>
        <v>8.8031747734287287E-22</v>
      </c>
      <c r="AF15" s="102">
        <f t="shared" si="2"/>
        <v>5.4783761687431899E-33</v>
      </c>
      <c r="AG15" s="102">
        <f t="shared" si="2"/>
        <v>2.0287940897740919E-49</v>
      </c>
      <c r="AH15" s="102">
        <f t="shared" si="2"/>
        <v>2.7485678316729665E-73</v>
      </c>
      <c r="AI15" s="102">
        <f t="shared" si="2"/>
        <v>7.8548554027786079E-108</v>
      </c>
      <c r="AJ15" s="102">
        <f t="shared" si="2"/>
        <v>3.935593146381841E-158</v>
      </c>
      <c r="AK15" s="102">
        <f t="shared" si="2"/>
        <v>2.7928748794950937E-233</v>
      </c>
      <c r="AL15" s="102">
        <f t="shared" si="2"/>
        <v>0</v>
      </c>
    </row>
    <row r="16" spans="1:39">
      <c r="A16">
        <v>1993</v>
      </c>
      <c r="B16">
        <v>1769</v>
      </c>
      <c r="C16">
        <v>0</v>
      </c>
      <c r="E16" s="18">
        <f t="shared" si="3"/>
        <v>-0.69573339149159863</v>
      </c>
      <c r="G16" s="102">
        <f t="shared" si="4"/>
        <v>0.99999993087658456</v>
      </c>
      <c r="H16" s="102">
        <f t="shared" si="4"/>
        <v>0.99999946953518304</v>
      </c>
      <c r="I16" s="102">
        <f t="shared" si="4"/>
        <v>0.99999730420780542</v>
      </c>
      <c r="J16" s="102">
        <f t="shared" si="4"/>
        <v>0.99998902583386107</v>
      </c>
      <c r="K16" s="102">
        <f t="shared" si="4"/>
        <v>0.99996148359381787</v>
      </c>
      <c r="L16" s="102">
        <f t="shared" si="4"/>
        <v>0.99987890910251831</v>
      </c>
      <c r="M16" s="102">
        <f t="shared" si="4"/>
        <v>0.99965102930468652</v>
      </c>
      <c r="N16" s="102">
        <f t="shared" si="4"/>
        <v>0.99906397378792644</v>
      </c>
      <c r="O16" s="102">
        <f t="shared" si="4"/>
        <v>0.99763841232540362</v>
      </c>
      <c r="P16" s="102">
        <f t="shared" si="4"/>
        <v>0.99435339940522505</v>
      </c>
      <c r="Q16" s="102">
        <f t="shared" si="4"/>
        <v>0.98714012227057357</v>
      </c>
      <c r="R16" s="102">
        <f t="shared" si="4"/>
        <v>0.97202668417490434</v>
      </c>
      <c r="S16" s="102">
        <f t="shared" si="4"/>
        <v>0.94188421130616551</v>
      </c>
      <c r="T16" s="102">
        <f t="shared" si="4"/>
        <v>0.885129509993412</v>
      </c>
      <c r="U16" s="102">
        <f t="shared" si="4"/>
        <v>0.7860046845403813</v>
      </c>
      <c r="V16" s="102">
        <f t="shared" si="4"/>
        <v>0.63058053814931414</v>
      </c>
      <c r="W16" s="102">
        <f t="shared" si="1"/>
        <v>0.42379196508104872</v>
      </c>
      <c r="X16" s="102">
        <f t="shared" si="2"/>
        <v>0.21086545822590194</v>
      </c>
      <c r="Y16" s="102">
        <f t="shared" si="2"/>
        <v>6.379558371819509E-2</v>
      </c>
      <c r="Z16" s="102">
        <f t="shared" si="2"/>
        <v>8.6419190866164012E-3</v>
      </c>
      <c r="AA16" s="102">
        <f t="shared" si="2"/>
        <v>3.2944382353862419E-4</v>
      </c>
      <c r="AB16" s="102">
        <f t="shared" si="2"/>
        <v>1.7742802450207999E-6</v>
      </c>
      <c r="AC16" s="102">
        <f t="shared" si="2"/>
        <v>4.9573221391213388E-10</v>
      </c>
      <c r="AD16" s="102">
        <f t="shared" si="2"/>
        <v>1.7185097670592869E-15</v>
      </c>
      <c r="AE16" s="102">
        <f t="shared" si="2"/>
        <v>9.8597228950909168E-24</v>
      </c>
      <c r="AF16" s="102">
        <f t="shared" si="2"/>
        <v>5.6188173872318337E-36</v>
      </c>
      <c r="AG16" s="102">
        <f t="shared" si="2"/>
        <v>6.2497708716521744E-54</v>
      </c>
      <c r="AH16" s="102">
        <f t="shared" si="2"/>
        <v>5.2042165470903741E-80</v>
      </c>
      <c r="AI16" s="102">
        <f t="shared" si="2"/>
        <v>9.373373067936078E-118</v>
      </c>
      <c r="AJ16" s="102">
        <f t="shared" si="2"/>
        <v>1.0267670386671474E-172</v>
      </c>
      <c r="AK16" s="102">
        <f t="shared" si="2"/>
        <v>7.94288772219245E-255</v>
      </c>
      <c r="AL16" s="102">
        <f t="shared" si="2"/>
        <v>0</v>
      </c>
    </row>
    <row r="17" spans="1:38">
      <c r="A17">
        <v>1994</v>
      </c>
      <c r="B17">
        <v>1847</v>
      </c>
      <c r="C17">
        <v>1</v>
      </c>
      <c r="E17" s="18">
        <f t="shared" si="3"/>
        <v>-1.59615178033225</v>
      </c>
      <c r="G17" s="102">
        <f t="shared" si="4"/>
        <v>7.2171306257564802E-8</v>
      </c>
      <c r="H17" s="102">
        <f t="shared" si="4"/>
        <v>5.5385422695455264E-7</v>
      </c>
      <c r="I17" s="102">
        <f t="shared" si="4"/>
        <v>2.8146528703903867E-6</v>
      </c>
      <c r="J17" s="102">
        <f t="shared" si="4"/>
        <v>1.1457978363453336E-5</v>
      </c>
      <c r="K17" s="102">
        <f t="shared" si="4"/>
        <v>4.0213856478512626E-5</v>
      </c>
      <c r="L17" s="102">
        <f t="shared" si="4"/>
        <v>1.2642179713822144E-4</v>
      </c>
      <c r="M17" s="102">
        <f t="shared" si="4"/>
        <v>3.642886054086157E-4</v>
      </c>
      <c r="N17" s="102">
        <f t="shared" si="4"/>
        <v>9.7680053560555893E-4</v>
      </c>
      <c r="O17" s="102">
        <f t="shared" si="4"/>
        <v>2.4625475792718716E-3</v>
      </c>
      <c r="P17" s="102">
        <f t="shared" si="4"/>
        <v>5.8774398591625587E-3</v>
      </c>
      <c r="Q17" s="102">
        <f t="shared" si="4"/>
        <v>1.3332635542603458E-2</v>
      </c>
      <c r="R17" s="102">
        <f t="shared" si="4"/>
        <v>2.8758598599480434E-2</v>
      </c>
      <c r="S17" s="102">
        <f t="shared" si="4"/>
        <v>5.8725661847318741E-2</v>
      </c>
      <c r="T17" s="102">
        <f t="shared" si="4"/>
        <v>0.11216566003583173</v>
      </c>
      <c r="U17" s="102">
        <f t="shared" si="4"/>
        <v>0.19553556907395156</v>
      </c>
      <c r="V17" s="102">
        <f t="shared" si="4"/>
        <v>0.29751915243791183</v>
      </c>
      <c r="W17" s="102">
        <f t="shared" si="1"/>
        <v>0.36585078592834513</v>
      </c>
      <c r="X17" s="102">
        <f t="shared" si="2"/>
        <v>0.32010174683137443</v>
      </c>
      <c r="Y17" s="102">
        <f t="shared" si="2"/>
        <v>0.16249021283650517</v>
      </c>
      <c r="Z17" s="102">
        <f t="shared" si="2"/>
        <v>3.4813614994126878E-2</v>
      </c>
      <c r="AA17" s="102">
        <f t="shared" si="2"/>
        <v>1.9410481679161687E-3</v>
      </c>
      <c r="AB17" s="102">
        <f t="shared" si="2"/>
        <v>1.3733112503933194E-5</v>
      </c>
      <c r="AC17" s="102">
        <f t="shared" si="2"/>
        <v>4.3377806591606333E-9</v>
      </c>
      <c r="AD17" s="102">
        <f t="shared" si="2"/>
        <v>1.3756042565217213E-14</v>
      </c>
      <c r="AE17" s="102">
        <f t="shared" si="2"/>
        <v>5.3552424691305409E-23</v>
      </c>
      <c r="AF17" s="102">
        <f t="shared" si="2"/>
        <v>1.3598187083024076E-35</v>
      </c>
      <c r="AG17" s="102">
        <f t="shared" si="2"/>
        <v>3.7322825918124387E-54</v>
      </c>
      <c r="AH17" s="102">
        <f t="shared" si="2"/>
        <v>3.3362993675201976E-81</v>
      </c>
      <c r="AI17" s="102">
        <f t="shared" si="2"/>
        <v>1.9703896079021366E-120</v>
      </c>
      <c r="AJ17" s="102">
        <f t="shared" si="2"/>
        <v>1.2416652783789834E-177</v>
      </c>
      <c r="AK17" s="102">
        <f t="shared" si="2"/>
        <v>3.5956535671810333E-263</v>
      </c>
      <c r="AL17" s="102">
        <f t="shared" si="2"/>
        <v>0</v>
      </c>
    </row>
    <row r="18" spans="1:38">
      <c r="A18">
        <v>1995</v>
      </c>
      <c r="B18">
        <v>2046</v>
      </c>
      <c r="C18">
        <v>1</v>
      </c>
      <c r="E18" s="18">
        <f t="shared" si="3"/>
        <v>-1.598722632604207</v>
      </c>
      <c r="G18" s="102">
        <f t="shared" si="4"/>
        <v>7.994720706809387E-8</v>
      </c>
      <c r="H18" s="102">
        <f t="shared" si="4"/>
        <v>6.1352771019371397E-7</v>
      </c>
      <c r="I18" s="102">
        <f t="shared" si="4"/>
        <v>3.1179090559951622E-6</v>
      </c>
      <c r="J18" s="102">
        <f t="shared" si="4"/>
        <v>1.2692471462205356E-5</v>
      </c>
      <c r="K18" s="102">
        <f t="shared" si="4"/>
        <v>4.4546396239760218E-5</v>
      </c>
      <c r="L18" s="102">
        <f t="shared" si="4"/>
        <v>1.4004086266169113E-4</v>
      </c>
      <c r="M18" s="102">
        <f t="shared" si="4"/>
        <v>4.035220480421394E-4</v>
      </c>
      <c r="N18" s="102">
        <f t="shared" si="4"/>
        <v>1.081929274550424E-3</v>
      </c>
      <c r="O18" s="102">
        <f t="shared" si="4"/>
        <v>2.7271426305891851E-3</v>
      </c>
      <c r="P18" s="102">
        <f t="shared" si="4"/>
        <v>6.506542651929295E-3</v>
      </c>
      <c r="Q18" s="102">
        <f t="shared" si="4"/>
        <v>1.4747635551509151E-2</v>
      </c>
      <c r="R18" s="102">
        <f t="shared" si="4"/>
        <v>3.1755600978795651E-2</v>
      </c>
      <c r="S18" s="102">
        <f t="shared" si="4"/>
        <v>6.4616221464820336E-2</v>
      </c>
      <c r="T18" s="102">
        <f t="shared" si="4"/>
        <v>0.12255676588081195</v>
      </c>
      <c r="U18" s="102">
        <f t="shared" si="4"/>
        <v>0.21081454438429642</v>
      </c>
      <c r="V18" s="102">
        <f t="shared" si="4"/>
        <v>0.31291464574587707</v>
      </c>
      <c r="W18" s="102">
        <f t="shared" si="1"/>
        <v>0.36795951832745927</v>
      </c>
      <c r="X18" s="102">
        <f t="shared" si="2"/>
        <v>0.29763374381339974</v>
      </c>
      <c r="Y18" s="102">
        <f t="shared" si="2"/>
        <v>0.13207278359759397</v>
      </c>
      <c r="Z18" s="102">
        <f t="shared" si="2"/>
        <v>2.2598056142983838E-2</v>
      </c>
      <c r="AA18" s="102">
        <f t="shared" si="2"/>
        <v>8.7246910397482437E-4</v>
      </c>
      <c r="AB18" s="102">
        <f t="shared" si="2"/>
        <v>3.4297569786916085E-6</v>
      </c>
      <c r="AC18" s="102">
        <f t="shared" si="2"/>
        <v>4.3150653175059122E-10</v>
      </c>
      <c r="AD18" s="102">
        <f t="shared" si="2"/>
        <v>3.3265279432696777E-16</v>
      </c>
      <c r="AE18" s="102">
        <f t="shared" si="2"/>
        <v>1.5317582123871797E-25</v>
      </c>
      <c r="AF18" s="102">
        <f t="shared" si="2"/>
        <v>1.631187493357564E-39</v>
      </c>
      <c r="AG18" s="102">
        <f t="shared" si="2"/>
        <v>4.2788189612182274E-60</v>
      </c>
      <c r="AH18" s="102">
        <f t="shared" si="2"/>
        <v>4.4550640707193747E-90</v>
      </c>
      <c r="AI18" s="102">
        <f t="shared" si="2"/>
        <v>1.4933309568758552E-133</v>
      </c>
      <c r="AJ18" s="102">
        <f t="shared" si="2"/>
        <v>6.1794405214426113E-197</v>
      </c>
      <c r="AK18" s="102">
        <f t="shared" si="2"/>
        <v>1.0369543898635011E-291</v>
      </c>
      <c r="AL18" s="102">
        <f t="shared" si="2"/>
        <v>0</v>
      </c>
    </row>
    <row r="19" spans="1:38">
      <c r="A19">
        <v>1996</v>
      </c>
      <c r="B19">
        <v>2243</v>
      </c>
      <c r="C19">
        <v>0</v>
      </c>
      <c r="E19" s="18">
        <f t="shared" si="3"/>
        <v>-0.79692045723638882</v>
      </c>
      <c r="G19" s="102">
        <f t="shared" si="4"/>
        <v>0.99999991235510488</v>
      </c>
      <c r="H19" s="102">
        <f t="shared" si="4"/>
        <v>0.99999932739824748</v>
      </c>
      <c r="I19" s="102">
        <f t="shared" si="4"/>
        <v>0.9999965818769313</v>
      </c>
      <c r="J19" s="102">
        <f t="shared" si="4"/>
        <v>0.99998608534852507</v>
      </c>
      <c r="K19" s="102">
        <f t="shared" si="4"/>
        <v>0.99995116345208535</v>
      </c>
      <c r="L19" s="102">
        <f t="shared" si="4"/>
        <v>0.99984646553044998</v>
      </c>
      <c r="M19" s="102">
        <f t="shared" si="4"/>
        <v>0.99955754399606012</v>
      </c>
      <c r="N19" s="102">
        <f t="shared" si="4"/>
        <v>0.99881331630937953</v>
      </c>
      <c r="O19" s="102">
        <f t="shared" si="4"/>
        <v>0.99700657758654798</v>
      </c>
      <c r="P19" s="102">
        <f t="shared" si="4"/>
        <v>0.99284582780595876</v>
      </c>
      <c r="Q19" s="102">
        <f t="shared" si="4"/>
        <v>0.98372252532974491</v>
      </c>
      <c r="R19" s="102">
        <f t="shared" si="4"/>
        <v>0.96466513482066285</v>
      </c>
      <c r="S19" s="102">
        <f t="shared" si="4"/>
        <v>0.92689428363274862</v>
      </c>
      <c r="T19" s="102">
        <f t="shared" si="4"/>
        <v>0.85665786023217105</v>
      </c>
      <c r="U19" s="102">
        <f t="shared" si="4"/>
        <v>0.73689313236769149</v>
      </c>
      <c r="V19" s="102">
        <f t="shared" si="4"/>
        <v>0.557290254524758</v>
      </c>
      <c r="W19" s="102">
        <f t="shared" si="1"/>
        <v>0.33670459057844071</v>
      </c>
      <c r="X19" s="102">
        <f t="shared" si="2"/>
        <v>0.1389549618353271</v>
      </c>
      <c r="Y19" s="102">
        <f t="shared" si="2"/>
        <v>3.0516636138226035E-2</v>
      </c>
      <c r="Z19" s="102">
        <f t="shared" si="2"/>
        <v>2.4195190088012464E-3</v>
      </c>
      <c r="AA19" s="102">
        <f t="shared" si="2"/>
        <v>3.8435087652049241E-5</v>
      </c>
      <c r="AB19" s="102">
        <f t="shared" si="2"/>
        <v>5.1057466509004784E-8</v>
      </c>
      <c r="AC19" s="102">
        <f t="shared" si="2"/>
        <v>1.5924187608112139E-12</v>
      </c>
      <c r="AD19" s="102">
        <f t="shared" si="2"/>
        <v>1.9008183430643547E-19</v>
      </c>
      <c r="AE19" s="102">
        <f t="shared" si="2"/>
        <v>6.7517589157335019E-30</v>
      </c>
      <c r="AF19" s="102">
        <f t="shared" si="2"/>
        <v>2.015500977780381E-45</v>
      </c>
      <c r="AG19" s="102">
        <f t="shared" si="2"/>
        <v>3.4667509974315586E-68</v>
      </c>
      <c r="AH19" s="102">
        <f t="shared" si="2"/>
        <v>2.9679862378268289E-101</v>
      </c>
      <c r="AI19" s="102">
        <f t="shared" si="2"/>
        <v>4.1157620637820624E-149</v>
      </c>
      <c r="AJ19" s="102">
        <f t="shared" si="2"/>
        <v>8.4623495933361653E-219</v>
      </c>
      <c r="AK19" s="102">
        <f t="shared" si="2"/>
        <v>0</v>
      </c>
      <c r="AL19" s="102">
        <f t="shared" si="2"/>
        <v>0</v>
      </c>
    </row>
    <row r="20" spans="1:38">
      <c r="A20">
        <v>1997</v>
      </c>
      <c r="B20">
        <v>2490</v>
      </c>
      <c r="C20">
        <v>2</v>
      </c>
      <c r="E20" s="18">
        <f t="shared" si="3"/>
        <v>-2.2158320253830492</v>
      </c>
      <c r="G20" s="102">
        <f t="shared" si="4"/>
        <v>4.7313993869899691E-15</v>
      </c>
      <c r="H20" s="102">
        <f t="shared" si="4"/>
        <v>2.7864519797521437E-13</v>
      </c>
      <c r="I20" s="102">
        <f t="shared" si="4"/>
        <v>7.1963277783942781E-12</v>
      </c>
      <c r="J20" s="102">
        <f t="shared" si="4"/>
        <v>1.1925585121298042E-10</v>
      </c>
      <c r="K20" s="102">
        <f t="shared" si="4"/>
        <v>1.4690050524541282E-9</v>
      </c>
      <c r="L20" s="102">
        <f t="shared" si="4"/>
        <v>1.4519115879962893E-8</v>
      </c>
      <c r="M20" s="102">
        <f t="shared" si="4"/>
        <v>1.2057431410748841E-7</v>
      </c>
      <c r="N20" s="102">
        <f t="shared" si="4"/>
        <v>8.6725944952661469E-7</v>
      </c>
      <c r="O20" s="102">
        <f t="shared" si="4"/>
        <v>5.5173253454639026E-6</v>
      </c>
      <c r="P20" s="102">
        <f t="shared" si="4"/>
        <v>3.150000535840705E-5</v>
      </c>
      <c r="Q20" s="102">
        <f t="shared" si="4"/>
        <v>1.6289896208082559E-4</v>
      </c>
      <c r="R20" s="102">
        <f t="shared" si="4"/>
        <v>7.6591795517911914E-4</v>
      </c>
      <c r="S20" s="102">
        <f t="shared" si="4"/>
        <v>3.2629758585131455E-3</v>
      </c>
      <c r="T20" s="102">
        <f t="shared" si="4"/>
        <v>1.2417895620944393E-2</v>
      </c>
      <c r="U20" s="102">
        <f t="shared" si="4"/>
        <v>4.0915395120003008E-2</v>
      </c>
      <c r="V20" s="102">
        <f t="shared" si="4"/>
        <v>0.11004973269565012</v>
      </c>
      <c r="W20" s="102">
        <f t="shared" si="1"/>
        <v>0.21808822706883646</v>
      </c>
      <c r="X20" s="102">
        <f t="shared" si="2"/>
        <v>0.26848841307227733</v>
      </c>
      <c r="Y20" s="102">
        <f t="shared" si="2"/>
        <v>0.1560942646905491</v>
      </c>
      <c r="Z20" s="102">
        <f t="shared" si="2"/>
        <v>2.7933380518069914E-2</v>
      </c>
      <c r="AA20" s="102">
        <f t="shared" si="2"/>
        <v>8.0235709230724428E-4</v>
      </c>
      <c r="AB20" s="102">
        <f t="shared" si="2"/>
        <v>1.4059645163835437E-6</v>
      </c>
      <c r="AC20" s="102">
        <f t="shared" si="2"/>
        <v>3.6788176619360521E-11</v>
      </c>
      <c r="AD20" s="102">
        <f t="shared" si="2"/>
        <v>1.9246788255359233E-18</v>
      </c>
      <c r="AE20" s="102">
        <f t="shared" si="2"/>
        <v>1.1858678915555011E-29</v>
      </c>
      <c r="AF20" s="102">
        <f t="shared" si="2"/>
        <v>1.6481046579674922E-46</v>
      </c>
      <c r="AG20" s="102">
        <f t="shared" si="2"/>
        <v>2.0582769113592855E-71</v>
      </c>
      <c r="AH20" s="102">
        <f t="shared" si="2"/>
        <v>9.2485286676484708E-108</v>
      </c>
      <c r="AI20" s="102">
        <f t="shared" si="2"/>
        <v>1.5773308754039824E-160</v>
      </c>
      <c r="AJ20" s="102">
        <f t="shared" si="2"/>
        <v>1.5976075408044618E-237</v>
      </c>
      <c r="AK20" s="102">
        <f t="shared" si="2"/>
        <v>0</v>
      </c>
      <c r="AL20" s="102">
        <f t="shared" si="2"/>
        <v>0</v>
      </c>
    </row>
    <row r="21" spans="1:38">
      <c r="A21">
        <v>1998</v>
      </c>
      <c r="B21">
        <v>2764</v>
      </c>
      <c r="C21">
        <v>4</v>
      </c>
      <c r="E21" s="18">
        <f t="shared" si="3"/>
        <v>-3.0638177739739185</v>
      </c>
      <c r="G21" s="102">
        <f t="shared" si="4"/>
        <v>5.6570305338906237E-30</v>
      </c>
      <c r="H21" s="102">
        <f t="shared" si="4"/>
        <v>1.962061795332164E-26</v>
      </c>
      <c r="I21" s="102">
        <f t="shared" si="4"/>
        <v>1.308677410732934E-23</v>
      </c>
      <c r="J21" s="102">
        <f t="shared" si="4"/>
        <v>3.5939715119728318E-21</v>
      </c>
      <c r="K21" s="102">
        <f t="shared" si="4"/>
        <v>5.4535186206473294E-19</v>
      </c>
      <c r="L21" s="102">
        <f t="shared" si="4"/>
        <v>5.3278929616374552E-17</v>
      </c>
      <c r="M21" s="102">
        <f t="shared" si="4"/>
        <v>3.6754350455286777E-15</v>
      </c>
      <c r="N21" s="102">
        <f t="shared" si="4"/>
        <v>1.9029037264075243E-13</v>
      </c>
      <c r="O21" s="102">
        <f t="shared" si="4"/>
        <v>7.7152989578787991E-12</v>
      </c>
      <c r="P21" s="102">
        <f t="shared" si="4"/>
        <v>2.5252894938911521E-10</v>
      </c>
      <c r="Q21" s="102">
        <f t="shared" si="4"/>
        <v>6.8153394192948977E-9</v>
      </c>
      <c r="R21" s="102">
        <f t="shared" si="4"/>
        <v>1.5360633230625955E-7</v>
      </c>
      <c r="S21" s="102">
        <f t="shared" si="4"/>
        <v>2.9000795568859778E-6</v>
      </c>
      <c r="T21" s="102">
        <f t="shared" si="4"/>
        <v>4.5403469973579766E-5</v>
      </c>
      <c r="U21" s="102">
        <f t="shared" si="4"/>
        <v>5.7198171440725205E-4</v>
      </c>
      <c r="V21" s="102">
        <f t="shared" si="4"/>
        <v>5.4531729329351615E-3</v>
      </c>
      <c r="W21" s="102">
        <f t="shared" si="1"/>
        <v>3.5231729025951654E-2</v>
      </c>
      <c r="X21" s="102">
        <f t="shared" si="2"/>
        <v>0.1280173087060521</v>
      </c>
      <c r="Y21" s="102">
        <f t="shared" si="2"/>
        <v>0.19346579209141287</v>
      </c>
      <c r="Z21" s="102">
        <f t="shared" si="2"/>
        <v>7.5793854343619696E-2</v>
      </c>
      <c r="AA21" s="102">
        <f t="shared" si="2"/>
        <v>3.7451409381555494E-3</v>
      </c>
      <c r="AB21" s="102">
        <f t="shared" si="2"/>
        <v>7.9932308324772743E-6</v>
      </c>
      <c r="AC21" s="102">
        <f t="shared" si="2"/>
        <v>1.5486431761738871E-10</v>
      </c>
      <c r="AD21" s="102">
        <f t="shared" si="2"/>
        <v>2.9311049970947166E-18</v>
      </c>
      <c r="AE21" s="102">
        <f t="shared" si="2"/>
        <v>2.3449064977160952E-30</v>
      </c>
      <c r="AF21" s="102">
        <f t="shared" si="2"/>
        <v>9.8667603389361531E-49</v>
      </c>
      <c r="AG21" s="102">
        <f t="shared" si="2"/>
        <v>4.760438125633036E-76</v>
      </c>
      <c r="AH21" s="102">
        <f t="shared" si="2"/>
        <v>4.4894948737278026E-116</v>
      </c>
      <c r="AI21" s="102">
        <f t="shared" si="2"/>
        <v>2.4993150437419056E-174</v>
      </c>
      <c r="AJ21" s="102">
        <f t="shared" si="2"/>
        <v>1.8072640827275864E-259</v>
      </c>
      <c r="AK21" s="102">
        <f t="shared" si="2"/>
        <v>0</v>
      </c>
      <c r="AL21" s="102">
        <f t="shared" si="2"/>
        <v>0</v>
      </c>
    </row>
    <row r="22" spans="1:38">
      <c r="A22">
        <v>1999</v>
      </c>
      <c r="B22">
        <v>2870</v>
      </c>
      <c r="C22">
        <v>5</v>
      </c>
      <c r="E22" s="18">
        <f t="shared" si="3"/>
        <v>-3.3853086736729634</v>
      </c>
      <c r="G22" s="102">
        <f t="shared" si="4"/>
        <v>1.4729997900707141E-37</v>
      </c>
      <c r="H22" s="102">
        <f t="shared" si="4"/>
        <v>3.9206488736017836E-33</v>
      </c>
      <c r="I22" s="102">
        <f t="shared" si="4"/>
        <v>1.3289485455752173E-29</v>
      </c>
      <c r="J22" s="102">
        <f t="shared" si="4"/>
        <v>1.4857197119216473E-26</v>
      </c>
      <c r="K22" s="102">
        <f t="shared" si="4"/>
        <v>7.9125880111086269E-24</v>
      </c>
      <c r="L22" s="102">
        <f t="shared" si="4"/>
        <v>2.4304057134306921E-21</v>
      </c>
      <c r="M22" s="102">
        <f t="shared" si="4"/>
        <v>4.8322911063853116E-19</v>
      </c>
      <c r="N22" s="102">
        <f t="shared" si="4"/>
        <v>6.7123182033919025E-17</v>
      </c>
      <c r="O22" s="102">
        <f t="shared" si="4"/>
        <v>6.8706454920965514E-15</v>
      </c>
      <c r="P22" s="102">
        <f t="shared" si="4"/>
        <v>5.3847958711508244E-13</v>
      </c>
      <c r="Q22" s="102">
        <f t="shared" si="4"/>
        <v>3.3203608651857498E-11</v>
      </c>
      <c r="R22" s="102">
        <f t="shared" si="4"/>
        <v>1.6389027595123571E-9</v>
      </c>
      <c r="S22" s="102">
        <f t="shared" si="4"/>
        <v>6.5174590405171468E-8</v>
      </c>
      <c r="T22" s="102">
        <f t="shared" si="4"/>
        <v>2.0718243064366367E-6</v>
      </c>
      <c r="U22" s="102">
        <f t="shared" si="4"/>
        <v>5.1141930799803171E-5</v>
      </c>
      <c r="V22" s="102">
        <f t="shared" si="4"/>
        <v>9.2151724254049014E-4</v>
      </c>
      <c r="W22" s="102">
        <f t="shared" si="1"/>
        <v>1.0825134832868063E-2</v>
      </c>
      <c r="X22" s="102">
        <f t="shared" si="2"/>
        <v>6.8407089886980618E-2</v>
      </c>
      <c r="Y22" s="102">
        <f t="shared" si="2"/>
        <v>0.17020502955106642</v>
      </c>
      <c r="Z22" s="102">
        <f t="shared" si="2"/>
        <v>0.1021792803141463</v>
      </c>
      <c r="AA22" s="102">
        <f t="shared" si="2"/>
        <v>7.0122209426282224E-3</v>
      </c>
      <c r="AB22" s="102">
        <f t="shared" si="2"/>
        <v>1.8100531800741701E-5</v>
      </c>
      <c r="AC22" s="102">
        <f t="shared" si="2"/>
        <v>3.4829267329852527E-10</v>
      </c>
      <c r="AD22" s="102">
        <f t="shared" si="2"/>
        <v>4.9422214113824382E-18</v>
      </c>
      <c r="AE22" s="102">
        <f t="shared" si="2"/>
        <v>1.9867578230795115E-30</v>
      </c>
      <c r="AF22" s="102">
        <f t="shared" si="2"/>
        <v>2.3840330938481122E-49</v>
      </c>
      <c r="AG22" s="102">
        <f t="shared" si="2"/>
        <v>1.4753117169604233E-77</v>
      </c>
      <c r="AH22" s="102">
        <f t="shared" si="2"/>
        <v>5.7735530668432426E-119</v>
      </c>
      <c r="AI22" s="102">
        <f t="shared" si="2"/>
        <v>2.6631045368981038E-179</v>
      </c>
      <c r="AJ22" s="102">
        <f t="shared" si="2"/>
        <v>1.494663139026065E-267</v>
      </c>
      <c r="AK22" s="102">
        <f t="shared" si="2"/>
        <v>0</v>
      </c>
      <c r="AL22" s="102">
        <f t="shared" si="2"/>
        <v>0</v>
      </c>
    </row>
    <row r="23" spans="1:38">
      <c r="A23">
        <v>2000</v>
      </c>
      <c r="B23">
        <v>2927</v>
      </c>
      <c r="C23">
        <v>7</v>
      </c>
      <c r="E23" s="18">
        <f t="shared" si="3"/>
        <v>-3.9418511049597367</v>
      </c>
      <c r="G23" s="102">
        <f t="shared" si="4"/>
        <v>5.0430606702085854E-53</v>
      </c>
      <c r="H23" s="102">
        <f t="shared" si="4"/>
        <v>7.9051786078776561E-47</v>
      </c>
      <c r="I23" s="102">
        <f t="shared" si="4"/>
        <v>6.9202625279470771E-42</v>
      </c>
      <c r="J23" s="102">
        <f t="shared" si="4"/>
        <v>1.2821091348538743E-37</v>
      </c>
      <c r="K23" s="102">
        <f t="shared" si="4"/>
        <v>8.4113694197916101E-34</v>
      </c>
      <c r="L23" s="102">
        <f t="shared" si="4"/>
        <v>2.5538367918202997E-30</v>
      </c>
      <c r="M23" s="102">
        <f t="shared" si="4"/>
        <v>4.2181131570686855E-27</v>
      </c>
      <c r="N23" s="102">
        <f t="shared" si="4"/>
        <v>4.2177690195966275E-24</v>
      </c>
      <c r="O23" s="102">
        <f t="shared" si="4"/>
        <v>2.7519482102858048E-21</v>
      </c>
      <c r="P23" s="102">
        <f t="shared" si="4"/>
        <v>1.2369839073174211E-18</v>
      </c>
      <c r="Q23" s="102">
        <f t="shared" si="4"/>
        <v>3.9841583529829571E-16</v>
      </c>
      <c r="R23" s="102">
        <f t="shared" si="4"/>
        <v>9.4446124178751029E-14</v>
      </c>
      <c r="S23" s="102">
        <f t="shared" si="4"/>
        <v>1.6709237408944416E-11</v>
      </c>
      <c r="T23" s="102">
        <f t="shared" si="4"/>
        <v>2.2018469672327377E-9</v>
      </c>
      <c r="U23" s="102">
        <f t="shared" si="4"/>
        <v>2.1085947185764355E-7</v>
      </c>
      <c r="V23" s="102">
        <f t="shared" si="4"/>
        <v>1.3836358127125365E-5</v>
      </c>
      <c r="W23" s="102">
        <f t="shared" si="1"/>
        <v>5.5637055234227406E-4</v>
      </c>
      <c r="X23" s="102">
        <f t="shared" si="2"/>
        <v>1.1304721533536274E-2</v>
      </c>
      <c r="Y23" s="102">
        <f t="shared" si="2"/>
        <v>8.4663530054564395E-2</v>
      </c>
      <c r="Z23" s="102">
        <f t="shared" si="2"/>
        <v>0.14219298956863036</v>
      </c>
      <c r="AA23" s="102">
        <f t="shared" si="2"/>
        <v>2.5061441847262049E-2</v>
      </c>
      <c r="AB23" s="102">
        <f t="shared" si="2"/>
        <v>1.4955256438064997E-4</v>
      </c>
      <c r="AC23" s="102">
        <f t="shared" si="2"/>
        <v>5.814027391505653E-9</v>
      </c>
      <c r="AD23" s="102">
        <f t="shared" si="2"/>
        <v>1.395291153299468E-16</v>
      </c>
      <c r="AE23" s="102">
        <f t="shared" si="2"/>
        <v>7.4687401811428915E-29</v>
      </c>
      <c r="AF23" s="102">
        <f t="shared" si="2"/>
        <v>8.6196842580326414E-48</v>
      </c>
      <c r="AG23" s="102">
        <f t="shared" si="2"/>
        <v>3.2837774118487253E-76</v>
      </c>
      <c r="AH23" s="102">
        <f t="shared" si="2"/>
        <v>4.2661931143624059E-118</v>
      </c>
      <c r="AI23" s="102">
        <f t="shared" si="2"/>
        <v>2.7403299237814842E-179</v>
      </c>
      <c r="AJ23" s="102">
        <f t="shared" si="2"/>
        <v>6.0604676632596629E-269</v>
      </c>
      <c r="AK23" s="102">
        <f t="shared" si="2"/>
        <v>0</v>
      </c>
      <c r="AL23" s="102">
        <f t="shared" si="2"/>
        <v>0</v>
      </c>
    </row>
    <row r="24" spans="1:38">
      <c r="A24">
        <v>2001</v>
      </c>
      <c r="B24">
        <v>2999</v>
      </c>
      <c r="C24">
        <v>7</v>
      </c>
      <c r="E24" s="18">
        <f t="shared" si="3"/>
        <v>-3.9238754061937344</v>
      </c>
      <c r="G24" s="102">
        <f t="shared" si="4"/>
        <v>5.979230704277878E-53</v>
      </c>
      <c r="H24" s="102">
        <f t="shared" si="4"/>
        <v>9.3726585616379912E-47</v>
      </c>
      <c r="I24" s="102">
        <f t="shared" si="4"/>
        <v>8.2049065976093173E-42</v>
      </c>
      <c r="J24" s="102">
        <f t="shared" si="4"/>
        <v>1.5201131622486252E-37</v>
      </c>
      <c r="K24" s="102">
        <f t="shared" si="4"/>
        <v>9.9728008219515604E-34</v>
      </c>
      <c r="L24" s="102">
        <f t="shared" si="4"/>
        <v>3.0279041118471451E-30</v>
      </c>
      <c r="M24" s="102">
        <f t="shared" si="4"/>
        <v>5.0010727883540522E-27</v>
      </c>
      <c r="N24" s="102">
        <f t="shared" si="4"/>
        <v>5.0005452127229723E-24</v>
      </c>
      <c r="O24" s="102">
        <f t="shared" si="4"/>
        <v>3.2624929525993808E-21</v>
      </c>
      <c r="P24" s="102">
        <f t="shared" si="4"/>
        <v>1.4662738027760645E-18</v>
      </c>
      <c r="Q24" s="102">
        <f t="shared" si="4"/>
        <v>4.7212709210663734E-16</v>
      </c>
      <c r="R24" s="102">
        <f t="shared" si="4"/>
        <v>1.118494234195796E-13</v>
      </c>
      <c r="S24" s="102">
        <f t="shared" si="4"/>
        <v>1.9762843091209566E-11</v>
      </c>
      <c r="T24" s="102">
        <f t="shared" si="4"/>
        <v>2.5976544375263225E-9</v>
      </c>
      <c r="U24" s="102">
        <f t="shared" si="4"/>
        <v>2.4756425348010764E-7</v>
      </c>
      <c r="V24" s="102">
        <f t="shared" si="4"/>
        <v>1.6099862306973086E-5</v>
      </c>
      <c r="W24" s="102">
        <f t="shared" si="1"/>
        <v>6.3700084996622976E-4</v>
      </c>
      <c r="X24" s="102">
        <f t="shared" si="2"/>
        <v>1.2580484292964312E-2</v>
      </c>
      <c r="Y24" s="102">
        <f t="shared" si="2"/>
        <v>8.9743152400097434E-2</v>
      </c>
      <c r="Z24" s="102">
        <f t="shared" si="2"/>
        <v>0.13894641831649304</v>
      </c>
      <c r="AA24" s="102">
        <f t="shared" si="2"/>
        <v>2.1440135598733739E-2</v>
      </c>
      <c r="AB24" s="102">
        <f t="shared" si="2"/>
        <v>1.0343670101812157E-4</v>
      </c>
      <c r="AC24" s="102">
        <f t="shared" si="2"/>
        <v>2.8821448874510862E-9</v>
      </c>
      <c r="AD24" s="102">
        <f t="shared" si="2"/>
        <v>4.1464120433493708E-17</v>
      </c>
      <c r="AE24" s="102">
        <f t="shared" si="2"/>
        <v>1.0252426288343508E-29</v>
      </c>
      <c r="AF24" s="102">
        <f t="shared" si="2"/>
        <v>3.7559443547363155E-49</v>
      </c>
      <c r="AG24" s="102">
        <f t="shared" si="2"/>
        <v>2.6599003701383565E-78</v>
      </c>
      <c r="AH24" s="102">
        <f t="shared" si="2"/>
        <v>2.9996535726126551E-121</v>
      </c>
      <c r="AI24" s="102">
        <f t="shared" si="2"/>
        <v>5.6052846486503985E-184</v>
      </c>
      <c r="AJ24" s="102">
        <f t="shared" si="2"/>
        <v>7.1838769401604883E-276</v>
      </c>
      <c r="AK24" s="102">
        <f t="shared" si="2"/>
        <v>0</v>
      </c>
      <c r="AL24" s="102">
        <f t="shared" si="2"/>
        <v>0</v>
      </c>
    </row>
    <row r="25" spans="1:38">
      <c r="A25">
        <v>2002</v>
      </c>
      <c r="B25">
        <v>3108</v>
      </c>
      <c r="C25">
        <v>13</v>
      </c>
      <c r="E25" s="18">
        <f t="shared" si="3"/>
        <v>-5.1207277920758241</v>
      </c>
      <c r="G25" s="102">
        <f t="shared" si="4"/>
        <v>1.9576225613780051E-100</v>
      </c>
      <c r="H25" s="102">
        <f t="shared" si="4"/>
        <v>6.2680599600697384E-89</v>
      </c>
      <c r="I25" s="102">
        <f t="shared" si="4"/>
        <v>9.4520502215011744E-80</v>
      </c>
      <c r="J25" s="102">
        <f t="shared" si="4"/>
        <v>7.9698388399530431E-72</v>
      </c>
      <c r="K25" s="102">
        <f t="shared" si="4"/>
        <v>9.7739771210510826E-65</v>
      </c>
      <c r="L25" s="102">
        <f t="shared" si="4"/>
        <v>2.8661318974250863E-58</v>
      </c>
      <c r="M25" s="102">
        <f t="shared" si="4"/>
        <v>2.7137699249728237E-52</v>
      </c>
      <c r="N25" s="102">
        <f t="shared" si="4"/>
        <v>1.0122120579391589E-46</v>
      </c>
      <c r="O25" s="102">
        <f t="shared" si="4"/>
        <v>1.7104990779983969E-41</v>
      </c>
      <c r="P25" s="102">
        <f t="shared" si="4"/>
        <v>1.4504234342479011E-36</v>
      </c>
      <c r="Q25" s="102">
        <f t="shared" si="4"/>
        <v>6.6576195673549565E-32</v>
      </c>
      <c r="R25" s="102">
        <f t="shared" si="4"/>
        <v>1.7481053120615346E-27</v>
      </c>
      <c r="S25" s="102">
        <f t="shared" si="4"/>
        <v>2.7227316647182343E-23</v>
      </c>
      <c r="T25" s="102">
        <f t="shared" si="4"/>
        <v>2.5547619124937083E-19</v>
      </c>
      <c r="U25" s="102">
        <f t="shared" si="4"/>
        <v>1.4276119980884141E-15</v>
      </c>
      <c r="V25" s="102">
        <f t="shared" si="4"/>
        <v>4.5186112183626121E-12</v>
      </c>
      <c r="W25" s="102">
        <f t="shared" si="1"/>
        <v>7.2712515778877543E-9</v>
      </c>
      <c r="X25" s="102">
        <f t="shared" si="2"/>
        <v>4.8918714612599352E-6</v>
      </c>
      <c r="Y25" s="102">
        <f t="shared" si="2"/>
        <v>9.9236663499950172E-4</v>
      </c>
      <c r="Z25" s="102">
        <f t="shared" si="2"/>
        <v>3.608446809416934E-2</v>
      </c>
      <c r="AA25" s="102">
        <f t="shared" si="2"/>
        <v>0.10576281734537143</v>
      </c>
      <c r="AB25" s="102">
        <f t="shared" si="2"/>
        <v>7.5709770649236242E-3</v>
      </c>
      <c r="AC25" s="102">
        <f t="shared" si="2"/>
        <v>2.3175898524784441E-6</v>
      </c>
      <c r="AD25" s="102">
        <f t="shared" si="2"/>
        <v>2.5060436914398224E-13</v>
      </c>
      <c r="AE25" s="102">
        <f t="shared" si="2"/>
        <v>2.8448751728346321E-25</v>
      </c>
      <c r="AF25" s="102">
        <f t="shared" si="2"/>
        <v>2.4907016463544182E-44</v>
      </c>
      <c r="AG25" s="102">
        <f t="shared" si="2"/>
        <v>1.752449275653638E-73</v>
      </c>
      <c r="AH25" s="102">
        <f t="shared" si="2"/>
        <v>5.9321127102131901E-117</v>
      </c>
      <c r="AI25" s="102">
        <f t="shared" si="2"/>
        <v>6.2958957443058863E-181</v>
      </c>
      <c r="AJ25" s="102">
        <f t="shared" si="2"/>
        <v>4.165996879673758E-275</v>
      </c>
      <c r="AK25" s="102">
        <f t="shared" si="2"/>
        <v>0</v>
      </c>
      <c r="AL25" s="102">
        <f t="shared" si="2"/>
        <v>0</v>
      </c>
    </row>
    <row r="26" spans="1:38">
      <c r="A26">
        <v>2003</v>
      </c>
      <c r="B26">
        <v>3022</v>
      </c>
      <c r="C26">
        <v>3</v>
      </c>
      <c r="E26" s="18">
        <f t="shared" si="3"/>
        <v>-2.6438057095972565</v>
      </c>
      <c r="G26" s="102">
        <f t="shared" si="4"/>
        <v>2.7415358653960193E-22</v>
      </c>
      <c r="H26" s="102">
        <f t="shared" si="4"/>
        <v>1.2390446112145876E-19</v>
      </c>
      <c r="I26" s="102">
        <f t="shared" si="4"/>
        <v>1.6262090822265918E-17</v>
      </c>
      <c r="J26" s="102">
        <f t="shared" si="4"/>
        <v>1.0970614933847983E-15</v>
      </c>
      <c r="K26" s="102">
        <f t="shared" si="4"/>
        <v>4.7429787862756018E-14</v>
      </c>
      <c r="L26" s="102">
        <f t="shared" si="4"/>
        <v>1.47380817249612E-12</v>
      </c>
      <c r="M26" s="102">
        <f t="shared" si="4"/>
        <v>3.5273844955007205E-11</v>
      </c>
      <c r="N26" s="102">
        <f t="shared" si="4"/>
        <v>6.8060790452510751E-10</v>
      </c>
      <c r="O26" s="102">
        <f t="shared" si="4"/>
        <v>1.0927385550239099E-8</v>
      </c>
      <c r="P26" s="102">
        <f t="shared" si="4"/>
        <v>1.4926797776242746E-7</v>
      </c>
      <c r="Q26" s="102">
        <f t="shared" si="4"/>
        <v>1.7605672506058936E-6</v>
      </c>
      <c r="R26" s="102">
        <f t="shared" si="4"/>
        <v>1.8061308887659044E-5</v>
      </c>
      <c r="S26" s="102">
        <f t="shared" si="4"/>
        <v>1.6084614788176748E-4</v>
      </c>
      <c r="T26" s="102">
        <f t="shared" si="4"/>
        <v>1.224448576777505E-3</v>
      </c>
      <c r="U26" s="102">
        <f t="shared" si="4"/>
        <v>7.6822564122830429E-3</v>
      </c>
      <c r="V26" s="102">
        <f t="shared" ref="V26:AK39" si="5">COMBIN($B26,$C26)*V$6^$C26*(1-V$6)^($B26-$C26)</f>
        <v>3.7034635536377702E-2</v>
      </c>
      <c r="W26" s="102">
        <f t="shared" si="5"/>
        <v>0.12126483900994502</v>
      </c>
      <c r="X26" s="102">
        <f t="shared" si="5"/>
        <v>0.21946191891827685</v>
      </c>
      <c r="Y26" s="102">
        <f t="shared" si="5"/>
        <v>0.15751508131976047</v>
      </c>
      <c r="Z26" s="102">
        <f t="shared" si="5"/>
        <v>2.6690045850859975E-2</v>
      </c>
      <c r="AA26" s="102">
        <f t="shared" si="5"/>
        <v>4.8481742994736847E-4</v>
      </c>
      <c r="AB26" s="102">
        <f t="shared" si="5"/>
        <v>2.9202325222150169E-7</v>
      </c>
      <c r="AC26" s="102">
        <f t="shared" si="5"/>
        <v>1.0577340186300219E-12</v>
      </c>
      <c r="AD26" s="102">
        <f t="shared" si="5"/>
        <v>2.0093559128165158E-21</v>
      </c>
      <c r="AE26" s="102">
        <f t="shared" si="5"/>
        <v>6.445342103579345E-35</v>
      </c>
      <c r="AF26" s="102">
        <f t="shared" si="5"/>
        <v>2.8756297533435125E-55</v>
      </c>
      <c r="AG26" s="102">
        <f t="shared" si="5"/>
        <v>2.1869005341541843E-85</v>
      </c>
      <c r="AH26" s="102">
        <f t="shared" si="5"/>
        <v>2.1384316437051518E-129</v>
      </c>
      <c r="AI26" s="102">
        <f t="shared" si="5"/>
        <v>2.4596429835786163E-193</v>
      </c>
      <c r="AJ26" s="102">
        <f t="shared" si="5"/>
        <v>1.1249501268696317E-286</v>
      </c>
      <c r="AK26" s="102">
        <f t="shared" si="5"/>
        <v>0</v>
      </c>
      <c r="AL26" s="102">
        <f t="shared" ref="AL26:BA41" si="6">COMBIN($B26,$C26)*AL$6^$C26*(1-AL$6)^($B26-$C26)</f>
        <v>0</v>
      </c>
    </row>
    <row r="27" spans="1:38">
      <c r="A27">
        <v>2004</v>
      </c>
      <c r="B27">
        <v>3137</v>
      </c>
      <c r="C27">
        <v>1</v>
      </c>
      <c r="E27" s="18">
        <f t="shared" si="3"/>
        <v>-1.6405236531616665</v>
      </c>
      <c r="G27" s="102">
        <f t="shared" ref="G27:V41" si="7">COMBIN($B27,$C27)*G$6^$C27*(1-G$6)^($B27-$C27)</f>
        <v>1.2257789730258005E-7</v>
      </c>
      <c r="H27" s="102">
        <f t="shared" si="7"/>
        <v>9.4068220783151169E-7</v>
      </c>
      <c r="I27" s="102">
        <f t="shared" si="7"/>
        <v>4.7804811569514501E-6</v>
      </c>
      <c r="J27" s="102">
        <f t="shared" si="7"/>
        <v>1.9460417152855939E-5</v>
      </c>
      <c r="K27" s="102">
        <f t="shared" si="7"/>
        <v>6.8298497312714368E-5</v>
      </c>
      <c r="L27" s="102">
        <f t="shared" si="7"/>
        <v>2.1469959802679348E-4</v>
      </c>
      <c r="M27" s="102">
        <f t="shared" si="7"/>
        <v>6.1856119672439047E-4</v>
      </c>
      <c r="N27" s="102">
        <f t="shared" si="7"/>
        <v>1.6578946698360851E-3</v>
      </c>
      <c r="O27" s="102">
        <f t="shared" si="7"/>
        <v>4.1752593521097335E-3</v>
      </c>
      <c r="P27" s="102">
        <f t="shared" si="7"/>
        <v>9.9412839491162825E-3</v>
      </c>
      <c r="Q27" s="102">
        <f t="shared" si="7"/>
        <v>2.2431819986760325E-2</v>
      </c>
      <c r="R27" s="102">
        <f t="shared" si="7"/>
        <v>4.7844273220655667E-2</v>
      </c>
      <c r="S27" s="102">
        <f t="shared" si="7"/>
        <v>9.5480320525215642E-2</v>
      </c>
      <c r="T27" s="102">
        <f t="shared" si="7"/>
        <v>0.1742864238686837</v>
      </c>
      <c r="U27" s="102">
        <f t="shared" si="7"/>
        <v>0.27862156603420524</v>
      </c>
      <c r="V27" s="102">
        <f t="shared" si="5"/>
        <v>0.36101749875584016</v>
      </c>
      <c r="W27" s="102">
        <f t="shared" si="5"/>
        <v>0.33224759899456496</v>
      </c>
      <c r="X27" s="102">
        <f t="shared" si="5"/>
        <v>0.17473631179772964</v>
      </c>
      <c r="Y27" s="102">
        <f t="shared" si="5"/>
        <v>3.7093482492086133E-2</v>
      </c>
      <c r="Z27" s="102">
        <f t="shared" si="5"/>
        <v>1.8497804200055645E-3</v>
      </c>
      <c r="AA27" s="102">
        <f t="shared" si="5"/>
        <v>9.5227226591468108E-6</v>
      </c>
      <c r="AB27" s="102">
        <f t="shared" si="5"/>
        <v>1.4929891710361732E-9</v>
      </c>
      <c r="AC27" s="102">
        <f t="shared" si="5"/>
        <v>1.207957569362715E-15</v>
      </c>
      <c r="AD27" s="102">
        <f t="shared" si="5"/>
        <v>3.996103399878221E-25</v>
      </c>
      <c r="AE27" s="102">
        <f t="shared" si="5"/>
        <v>1.5211255987852407E-39</v>
      </c>
      <c r="AF27" s="102">
        <f t="shared" si="5"/>
        <v>4.550603763605289E-61</v>
      </c>
      <c r="AG27" s="102">
        <f t="shared" si="5"/>
        <v>1.0097336127039923E-92</v>
      </c>
      <c r="AH27" s="102">
        <f t="shared" si="5"/>
        <v>8.6626980221207333E-139</v>
      </c>
      <c r="AI27" s="102">
        <f t="shared" si="5"/>
        <v>1.5300866293934199E-205</v>
      </c>
      <c r="AJ27" s="102">
        <f t="shared" si="5"/>
        <v>8.0467957301562207E-303</v>
      </c>
      <c r="AK27" s="102">
        <f t="shared" si="5"/>
        <v>0</v>
      </c>
      <c r="AL27" s="102">
        <f t="shared" si="6"/>
        <v>0</v>
      </c>
    </row>
    <row r="28" spans="1:38">
      <c r="A28">
        <v>2005</v>
      </c>
      <c r="B28">
        <v>3247</v>
      </c>
      <c r="C28">
        <v>1</v>
      </c>
      <c r="E28" s="18">
        <f t="shared" si="3"/>
        <v>-1.6460619740493367</v>
      </c>
      <c r="G28" s="102">
        <f t="shared" si="7"/>
        <v>1.2687613351314488E-7</v>
      </c>
      <c r="H28" s="102">
        <f t="shared" si="7"/>
        <v>9.7366752568649091E-7</v>
      </c>
      <c r="I28" s="102">
        <f t="shared" si="7"/>
        <v>4.9481095679409712E-6</v>
      </c>
      <c r="J28" s="102">
        <f t="shared" si="7"/>
        <v>2.0142789727730054E-5</v>
      </c>
      <c r="K28" s="102">
        <f t="shared" si="7"/>
        <v>7.0693238645476233E-5</v>
      </c>
      <c r="L28" s="102">
        <f t="shared" si="7"/>
        <v>2.2222644097360709E-4</v>
      </c>
      <c r="M28" s="102">
        <f t="shared" si="7"/>
        <v>6.4023736546542972E-4</v>
      </c>
      <c r="N28" s="102">
        <f t="shared" si="7"/>
        <v>1.7159294014951398E-3</v>
      </c>
      <c r="O28" s="102">
        <f t="shared" si="7"/>
        <v>4.3210309455127922E-3</v>
      </c>
      <c r="P28" s="102">
        <f t="shared" si="7"/>
        <v>1.0286255987871439E-2</v>
      </c>
      <c r="Q28" s="102">
        <f t="shared" si="7"/>
        <v>2.3199720018617056E-2</v>
      </c>
      <c r="R28" s="102">
        <f t="shared" si="7"/>
        <v>4.9434658288776932E-2</v>
      </c>
      <c r="S28" s="102">
        <f t="shared" si="7"/>
        <v>9.8461115369752369E-2</v>
      </c>
      <c r="T28" s="102">
        <f t="shared" si="7"/>
        <v>0.17903424353786351</v>
      </c>
      <c r="U28" s="102">
        <f t="shared" si="7"/>
        <v>0.28410561824379921</v>
      </c>
      <c r="V28" s="102">
        <f t="shared" si="5"/>
        <v>0.36311441151209944</v>
      </c>
      <c r="W28" s="102">
        <f t="shared" si="5"/>
        <v>0.32602073530171005</v>
      </c>
      <c r="X28" s="102">
        <f t="shared" si="5"/>
        <v>0.16417847794073617</v>
      </c>
      <c r="Y28" s="102">
        <f t="shared" si="5"/>
        <v>3.235525598952866E-2</v>
      </c>
      <c r="Z28" s="102">
        <f t="shared" si="5"/>
        <v>1.4248928074207328E-3</v>
      </c>
      <c r="AA28" s="102">
        <f t="shared" si="5"/>
        <v>5.9868379708349986E-6</v>
      </c>
      <c r="AB28" s="102">
        <f t="shared" si="5"/>
        <v>6.7829246185688279E-10</v>
      </c>
      <c r="AC28" s="102">
        <f t="shared" si="5"/>
        <v>3.2993704946655656E-16</v>
      </c>
      <c r="AD28" s="102">
        <f t="shared" si="5"/>
        <v>4.9945499231019578E-26</v>
      </c>
      <c r="AE28" s="102">
        <f t="shared" si="5"/>
        <v>5.8420436038938583E-41</v>
      </c>
      <c r="AF28" s="102">
        <f t="shared" si="5"/>
        <v>3.0275991521542574E-63</v>
      </c>
      <c r="AG28" s="102">
        <f t="shared" si="5"/>
        <v>5.1384690085448868E-96</v>
      </c>
      <c r="AH28" s="102">
        <f t="shared" si="5"/>
        <v>1.0534246385441564E-143</v>
      </c>
      <c r="AI28" s="102">
        <f t="shared" si="5"/>
        <v>8.3683424195089858E-213</v>
      </c>
      <c r="AJ28" s="102">
        <f t="shared" si="5"/>
        <v>0</v>
      </c>
      <c r="AK28" s="102">
        <f t="shared" si="5"/>
        <v>0</v>
      </c>
      <c r="AL28" s="102">
        <f t="shared" si="6"/>
        <v>0</v>
      </c>
    </row>
    <row r="29" spans="1:38">
      <c r="A29">
        <v>2006</v>
      </c>
      <c r="B29">
        <v>3272</v>
      </c>
      <c r="C29">
        <v>0</v>
      </c>
      <c r="E29" s="18">
        <f t="shared" si="3"/>
        <v>-0.97773355727208588</v>
      </c>
      <c r="G29" s="102">
        <f t="shared" si="7"/>
        <v>0.99999987214708386</v>
      </c>
      <c r="H29" s="102">
        <f t="shared" si="7"/>
        <v>0.99999901883522302</v>
      </c>
      <c r="I29" s="102">
        <f t="shared" si="7"/>
        <v>0.99999501378069033</v>
      </c>
      <c r="J29" s="102">
        <f t="shared" si="7"/>
        <v>0.99997970191961216</v>
      </c>
      <c r="K29" s="102">
        <f t="shared" si="7"/>
        <v>0.99992875996668051</v>
      </c>
      <c r="L29" s="102">
        <f t="shared" si="7"/>
        <v>0.99977603785479086</v>
      </c>
      <c r="M29" s="102">
        <f t="shared" si="7"/>
        <v>0.99935462813042231</v>
      </c>
      <c r="N29" s="102">
        <f t="shared" si="7"/>
        <v>0.99826938390723763</v>
      </c>
      <c r="O29" s="102">
        <f t="shared" si="7"/>
        <v>0.99563631328692537</v>
      </c>
      <c r="P29" s="102">
        <f t="shared" si="7"/>
        <v>0.98958092384288798</v>
      </c>
      <c r="Q29" s="102">
        <f t="shared" si="7"/>
        <v>0.9763439807095482</v>
      </c>
      <c r="R29" s="102">
        <f t="shared" si="7"/>
        <v>0.94887537087580109</v>
      </c>
      <c r="S29" s="102">
        <f t="shared" si="7"/>
        <v>0.89516884878368941</v>
      </c>
      <c r="T29" s="102">
        <f t="shared" si="7"/>
        <v>0.79796177782673172</v>
      </c>
      <c r="U29" s="102">
        <f t="shared" si="7"/>
        <v>0.64058228395613726</v>
      </c>
      <c r="V29" s="102">
        <f t="shared" si="5"/>
        <v>0.42618054888524737</v>
      </c>
      <c r="W29" s="102">
        <f t="shared" si="5"/>
        <v>0.20434759358019869</v>
      </c>
      <c r="X29" s="102">
        <f t="shared" si="5"/>
        <v>5.6189925760303197E-2</v>
      </c>
      <c r="Y29" s="102">
        <f t="shared" si="5"/>
        <v>6.1560452790478809E-3</v>
      </c>
      <c r="Z29" s="102">
        <f t="shared" si="5"/>
        <v>1.5257628366635172E-4</v>
      </c>
      <c r="AA29" s="102">
        <f t="shared" si="5"/>
        <v>3.6238902602066037E-7</v>
      </c>
      <c r="AB29" s="102">
        <f t="shared" si="5"/>
        <v>2.3057076287797879E-11</v>
      </c>
      <c r="AC29" s="102">
        <f t="shared" si="5"/>
        <v>6.160644417665874E-18</v>
      </c>
      <c r="AD29" s="102">
        <f t="shared" si="5"/>
        <v>4.9029379074438429E-28</v>
      </c>
      <c r="AE29" s="102">
        <f t="shared" si="5"/>
        <v>2.799645667228344E-43</v>
      </c>
      <c r="AF29" s="102">
        <f t="shared" si="5"/>
        <v>6.3066025350472436E-66</v>
      </c>
      <c r="AG29" s="102">
        <f t="shared" si="5"/>
        <v>3.9074898953808278E-99</v>
      </c>
      <c r="AH29" s="102">
        <f t="shared" si="5"/>
        <v>2.2614622157856215E-147</v>
      </c>
      <c r="AI29" s="102">
        <f t="shared" si="5"/>
        <v>3.475426725848561E-217</v>
      </c>
      <c r="AJ29" s="102">
        <f t="shared" si="5"/>
        <v>0</v>
      </c>
      <c r="AK29" s="102">
        <f t="shared" si="5"/>
        <v>0</v>
      </c>
      <c r="AL29" s="102">
        <f t="shared" si="6"/>
        <v>0</v>
      </c>
    </row>
    <row r="30" spans="1:38">
      <c r="A30">
        <v>2007</v>
      </c>
      <c r="B30">
        <v>3348</v>
      </c>
      <c r="C30">
        <v>0</v>
      </c>
      <c r="E30" s="18">
        <f t="shared" si="3"/>
        <v>-0.98953233502578963</v>
      </c>
      <c r="G30" s="102">
        <f t="shared" si="7"/>
        <v>0.99999986917739536</v>
      </c>
      <c r="H30" s="102">
        <f t="shared" si="7"/>
        <v>0.99999899604534359</v>
      </c>
      <c r="I30" s="102">
        <f t="shared" si="7"/>
        <v>0.99999489796415575</v>
      </c>
      <c r="J30" s="102">
        <f t="shared" si="7"/>
        <v>0.99997923045320347</v>
      </c>
      <c r="K30" s="102">
        <f t="shared" si="7"/>
        <v>0.99992710530739182</v>
      </c>
      <c r="L30" s="102">
        <f t="shared" si="7"/>
        <v>0.99977083639617903</v>
      </c>
      <c r="M30" s="102">
        <f t="shared" si="7"/>
        <v>0.9993396427808271</v>
      </c>
      <c r="N30" s="102">
        <f t="shared" si="7"/>
        <v>0.99822922183430995</v>
      </c>
      <c r="O30" s="102">
        <f t="shared" si="7"/>
        <v>0.99553518286455156</v>
      </c>
      <c r="P30" s="102">
        <f t="shared" si="7"/>
        <v>0.98934021039359488</v>
      </c>
      <c r="Q30" s="102">
        <f t="shared" si="7"/>
        <v>0.97580121515961371</v>
      </c>
      <c r="R30" s="102">
        <f t="shared" si="7"/>
        <v>0.94771947007819002</v>
      </c>
      <c r="S30" s="102">
        <f t="shared" si="7"/>
        <v>0.89286919323941094</v>
      </c>
      <c r="T30" s="102">
        <f t="shared" si="7"/>
        <v>0.79378957258846405</v>
      </c>
      <c r="U30" s="102">
        <f t="shared" si="7"/>
        <v>0.63398964573478778</v>
      </c>
      <c r="V30" s="102">
        <f t="shared" si="5"/>
        <v>0.41782079715490278</v>
      </c>
      <c r="W30" s="102">
        <f t="shared" si="5"/>
        <v>0.19694783726699736</v>
      </c>
      <c r="X30" s="102">
        <f t="shared" si="5"/>
        <v>5.2555272873977994E-2</v>
      </c>
      <c r="Y30" s="102">
        <f t="shared" si="5"/>
        <v>5.4695685528314284E-3</v>
      </c>
      <c r="Z30" s="102">
        <f t="shared" si="5"/>
        <v>1.2440545408579418E-4</v>
      </c>
      <c r="AA30" s="102">
        <f t="shared" si="5"/>
        <v>2.5678610743818669E-7</v>
      </c>
      <c r="AB30" s="102">
        <f t="shared" si="5"/>
        <v>1.3053591185657391E-11</v>
      </c>
      <c r="AC30" s="102">
        <f t="shared" si="5"/>
        <v>2.453997877363379E-18</v>
      </c>
      <c r="AD30" s="102">
        <f t="shared" si="5"/>
        <v>1.137960377665979E-28</v>
      </c>
      <c r="AE30" s="102">
        <f t="shared" si="5"/>
        <v>2.8754816304135309E-44</v>
      </c>
      <c r="AF30" s="102">
        <f t="shared" si="5"/>
        <v>1.9291468238588728E-67</v>
      </c>
      <c r="AG30" s="102">
        <f t="shared" si="5"/>
        <v>2.0236485961559007E-101</v>
      </c>
      <c r="AH30" s="102">
        <f t="shared" si="5"/>
        <v>8.8755534816266059E-151</v>
      </c>
      <c r="AI30" s="102">
        <f t="shared" si="5"/>
        <v>3.2601084081140647E-222</v>
      </c>
      <c r="AJ30" s="102">
        <f t="shared" si="5"/>
        <v>0</v>
      </c>
      <c r="AK30" s="102">
        <f t="shared" si="5"/>
        <v>0</v>
      </c>
      <c r="AL30" s="102">
        <f t="shared" si="6"/>
        <v>0</v>
      </c>
    </row>
    <row r="31" spans="1:38">
      <c r="A31">
        <v>2008</v>
      </c>
      <c r="B31">
        <v>3327</v>
      </c>
      <c r="C31">
        <v>14</v>
      </c>
      <c r="E31" s="18">
        <f t="shared" si="3"/>
        <v>-5.2054376738225674</v>
      </c>
      <c r="G31" s="102">
        <f t="shared" si="7"/>
        <v>4.3954537978747834E-108</v>
      </c>
      <c r="H31" s="102">
        <f t="shared" si="7"/>
        <v>1.0800378936602595E-95</v>
      </c>
      <c r="I31" s="102">
        <f t="shared" si="7"/>
        <v>8.276793185530229E-86</v>
      </c>
      <c r="J31" s="102">
        <f t="shared" si="7"/>
        <v>2.8410055874327248E-77</v>
      </c>
      <c r="K31" s="102">
        <f t="shared" si="7"/>
        <v>1.2228483462224239E-69</v>
      </c>
      <c r="L31" s="102">
        <f t="shared" si="7"/>
        <v>1.1273965381027744E-62</v>
      </c>
      <c r="M31" s="102">
        <f t="shared" si="7"/>
        <v>3.0765804577648554E-56</v>
      </c>
      <c r="N31" s="102">
        <f t="shared" si="7"/>
        <v>3.0786608201677602E-50</v>
      </c>
      <c r="O31" s="102">
        <f t="shared" si="7"/>
        <v>1.3132960299599485E-44</v>
      </c>
      <c r="P31" s="102">
        <f t="shared" si="7"/>
        <v>2.6659769325861994E-39</v>
      </c>
      <c r="Q31" s="102">
        <f t="shared" si="7"/>
        <v>2.7945912781585635E-34</v>
      </c>
      <c r="R31" s="102">
        <f t="shared" si="7"/>
        <v>1.6054070494203299E-29</v>
      </c>
      <c r="S31" s="102">
        <f t="shared" si="7"/>
        <v>5.2562117701805961E-25</v>
      </c>
      <c r="T31" s="102">
        <f t="shared" si="7"/>
        <v>9.9744697211168054E-21</v>
      </c>
      <c r="U31" s="102">
        <f t="shared" si="7"/>
        <v>1.0838913228046255E-16</v>
      </c>
      <c r="V31" s="102">
        <f t="shared" si="5"/>
        <v>6.3933372984968591E-13</v>
      </c>
      <c r="W31" s="102">
        <f t="shared" si="5"/>
        <v>1.8236959169960486E-9</v>
      </c>
      <c r="X31" s="102">
        <f t="shared" si="5"/>
        <v>2.040736567495784E-6</v>
      </c>
      <c r="Y31" s="102">
        <f t="shared" si="5"/>
        <v>6.3147112017653191E-4</v>
      </c>
      <c r="Z31" s="102">
        <f t="shared" si="5"/>
        <v>3.0967400483306613E-2</v>
      </c>
      <c r="AA31" s="102">
        <f t="shared" si="5"/>
        <v>0.1023161596929457</v>
      </c>
      <c r="AB31" s="102">
        <f t="shared" si="5"/>
        <v>6.3448468100579707E-3</v>
      </c>
      <c r="AC31" s="102">
        <f t="shared" si="5"/>
        <v>1.1437263004185906E-6</v>
      </c>
      <c r="AD31" s="102">
        <f t="shared" si="5"/>
        <v>4.15329344718251E-14</v>
      </c>
      <c r="AE31" s="102">
        <f t="shared" si="5"/>
        <v>7.0495220197628139E-27</v>
      </c>
      <c r="AF31" s="102">
        <f t="shared" si="5"/>
        <v>2.9067082984741054E-47</v>
      </c>
      <c r="AG31" s="102">
        <f t="shared" si="5"/>
        <v>1.8705727409233228E-78</v>
      </c>
      <c r="AH31" s="102">
        <f t="shared" si="5"/>
        <v>5.6707849512902128E-125</v>
      </c>
      <c r="AI31" s="102">
        <f t="shared" si="5"/>
        <v>1.9354240942247735E-193</v>
      </c>
      <c r="AJ31" s="102">
        <f t="shared" si="5"/>
        <v>0</v>
      </c>
      <c r="AK31" s="102">
        <f t="shared" si="5"/>
        <v>0</v>
      </c>
      <c r="AL31" s="102">
        <f t="shared" si="6"/>
        <v>0</v>
      </c>
    </row>
    <row r="32" spans="1:38">
      <c r="A32">
        <v>2009</v>
      </c>
      <c r="B32">
        <v>3361</v>
      </c>
      <c r="C32">
        <v>11</v>
      </c>
      <c r="E32" s="18">
        <f t="shared" si="3"/>
        <v>-4.6909771147112513</v>
      </c>
      <c r="G32" s="102">
        <f t="shared" si="7"/>
        <v>4.9403565901357817E-84</v>
      </c>
      <c r="H32" s="102">
        <f t="shared" si="7"/>
        <v>2.6859641591311485E-74</v>
      </c>
      <c r="I32" s="102">
        <f t="shared" si="7"/>
        <v>1.5683112579422924E-66</v>
      </c>
      <c r="J32" s="102">
        <f t="shared" si="7"/>
        <v>7.9796059217469632E-60</v>
      </c>
      <c r="K32" s="102">
        <f t="shared" si="7"/>
        <v>7.9440337735953402E-54</v>
      </c>
      <c r="L32" s="102">
        <f t="shared" si="7"/>
        <v>2.3566410753411573E-48</v>
      </c>
      <c r="M32" s="102">
        <f t="shared" si="7"/>
        <v>2.6859762824025684E-43</v>
      </c>
      <c r="N32" s="102">
        <f t="shared" si="7"/>
        <v>1.3915884922236802E-38</v>
      </c>
      <c r="O32" s="102">
        <f t="shared" si="7"/>
        <v>3.6882557993877595E-34</v>
      </c>
      <c r="P32" s="102">
        <f t="shared" si="7"/>
        <v>5.4499170754318124E-30</v>
      </c>
      <c r="Q32" s="102">
        <f t="shared" si="7"/>
        <v>4.7830338991831193E-26</v>
      </c>
      <c r="R32" s="102">
        <f t="shared" si="7"/>
        <v>2.6079436893014175E-22</v>
      </c>
      <c r="S32" s="102">
        <f t="shared" si="7"/>
        <v>9.0801012253180057E-19</v>
      </c>
      <c r="T32" s="102">
        <f t="shared" si="7"/>
        <v>2.0330615930223309E-15</v>
      </c>
      <c r="U32" s="102">
        <f t="shared" si="7"/>
        <v>2.8680671703781573E-12</v>
      </c>
      <c r="V32" s="102">
        <f t="shared" si="5"/>
        <v>2.3983578480632518E-9</v>
      </c>
      <c r="W32" s="102">
        <f t="shared" si="5"/>
        <v>1.0516260808395339E-6</v>
      </c>
      <c r="X32" s="102">
        <f t="shared" si="5"/>
        <v>1.9470436059027067E-4</v>
      </c>
      <c r="Y32" s="102">
        <f t="shared" si="5"/>
        <v>1.0641925882391106E-2</v>
      </c>
      <c r="Z32" s="102">
        <f t="shared" si="5"/>
        <v>9.7439908693684019E-2</v>
      </c>
      <c r="AA32" s="102">
        <f t="shared" si="5"/>
        <v>6.2730469653308793E-2</v>
      </c>
      <c r="AB32" s="102">
        <f t="shared" si="5"/>
        <v>7.7762009089409328E-4</v>
      </c>
      <c r="AC32" s="102">
        <f t="shared" si="5"/>
        <v>2.8083904609974684E-8</v>
      </c>
      <c r="AD32" s="102">
        <f t="shared" si="5"/>
        <v>1.9832214418816238E-16</v>
      </c>
      <c r="AE32" s="102">
        <f t="shared" si="5"/>
        <v>6.079680732728949E-30</v>
      </c>
      <c r="AF32" s="102">
        <f t="shared" si="5"/>
        <v>3.9571497553614115E-51</v>
      </c>
      <c r="AG32" s="102">
        <f t="shared" si="5"/>
        <v>3.2297609263550928E-83</v>
      </c>
      <c r="AH32" s="102">
        <f t="shared" si="5"/>
        <v>8.860276751424534E-131</v>
      </c>
      <c r="AI32" s="102">
        <f t="shared" si="5"/>
        <v>1.6410796784548975E-200</v>
      </c>
      <c r="AJ32" s="102">
        <f t="shared" si="5"/>
        <v>0</v>
      </c>
      <c r="AK32" s="102">
        <f t="shared" si="5"/>
        <v>0</v>
      </c>
      <c r="AL32" s="102">
        <f t="shared" si="6"/>
        <v>0</v>
      </c>
    </row>
    <row r="33" spans="1:38">
      <c r="A33">
        <v>2010</v>
      </c>
      <c r="B33">
        <v>3189</v>
      </c>
      <c r="C33">
        <v>0</v>
      </c>
      <c r="E33" s="18">
        <f t="shared" si="3"/>
        <v>-0.96464101938707292</v>
      </c>
      <c r="G33" s="102">
        <f t="shared" si="7"/>
        <v>0.99999987539029644</v>
      </c>
      <c r="H33" s="102">
        <f t="shared" si="7"/>
        <v>0.99999904372417114</v>
      </c>
      <c r="I33" s="102">
        <f t="shared" si="7"/>
        <v>0.9999951402645525</v>
      </c>
      <c r="J33" s="102">
        <f t="shared" si="7"/>
        <v>0.99998021681081239</v>
      </c>
      <c r="K33" s="102">
        <f t="shared" si="7"/>
        <v>0.99993056703192662</v>
      </c>
      <c r="L33" s="102">
        <f t="shared" si="7"/>
        <v>0.99978171842603181</v>
      </c>
      <c r="M33" s="102">
        <f t="shared" si="7"/>
        <v>0.99937099396629314</v>
      </c>
      <c r="N33" s="102">
        <f t="shared" si="7"/>
        <v>0.99831324696441393</v>
      </c>
      <c r="O33" s="102">
        <f t="shared" si="7"/>
        <v>0.99574677008963608</v>
      </c>
      <c r="P33" s="102">
        <f t="shared" si="7"/>
        <v>0.9898438751755092</v>
      </c>
      <c r="Q33" s="102">
        <f t="shared" si="7"/>
        <v>0.97693708271968072</v>
      </c>
      <c r="R33" s="102">
        <f t="shared" si="7"/>
        <v>0.95013934684994505</v>
      </c>
      <c r="S33" s="102">
        <f t="shared" si="7"/>
        <v>0.89768708161232769</v>
      </c>
      <c r="T33" s="102">
        <f t="shared" si="7"/>
        <v>0.80254332125493877</v>
      </c>
      <c r="U33" s="102">
        <f t="shared" si="7"/>
        <v>0.64786048049650513</v>
      </c>
      <c r="V33" s="102">
        <f t="shared" si="5"/>
        <v>0.43550147438069631</v>
      </c>
      <c r="W33" s="102">
        <f t="shared" si="5"/>
        <v>0.21274688517137236</v>
      </c>
      <c r="X33" s="102">
        <f t="shared" si="5"/>
        <v>6.0447112143400768E-2</v>
      </c>
      <c r="Y33" s="102">
        <f t="shared" si="5"/>
        <v>7.0045466154232119E-3</v>
      </c>
      <c r="Z33" s="102">
        <f t="shared" si="5"/>
        <v>1.9067754680650458E-4</v>
      </c>
      <c r="AA33" s="102">
        <f t="shared" si="5"/>
        <v>5.2790748842723147E-7</v>
      </c>
      <c r="AB33" s="102">
        <f t="shared" si="5"/>
        <v>4.2917587635908177E-11</v>
      </c>
      <c r="AC33" s="102">
        <f t="shared" si="5"/>
        <v>1.6834389148604102E-17</v>
      </c>
      <c r="AD33" s="102">
        <f t="shared" si="5"/>
        <v>2.4166330377912699E-27</v>
      </c>
      <c r="AE33" s="102">
        <f t="shared" si="5"/>
        <v>3.3614889596466789E-42</v>
      </c>
      <c r="AF33" s="102">
        <f t="shared" si="5"/>
        <v>2.8425795673306066E-64</v>
      </c>
      <c r="AG33" s="102">
        <f t="shared" si="5"/>
        <v>1.2251560473498852E-96</v>
      </c>
      <c r="AH33" s="102">
        <f t="shared" si="5"/>
        <v>1.1866198565194858E-143</v>
      </c>
      <c r="AI33" s="102">
        <f t="shared" si="5"/>
        <v>1.0761402404750194E-211</v>
      </c>
      <c r="AJ33" s="102">
        <f t="shared" si="5"/>
        <v>0</v>
      </c>
      <c r="AK33" s="102">
        <f t="shared" si="5"/>
        <v>0</v>
      </c>
      <c r="AL33" s="102">
        <f t="shared" si="6"/>
        <v>0</v>
      </c>
    </row>
    <row r="34" spans="1:38">
      <c r="A34">
        <v>2011</v>
      </c>
      <c r="B34">
        <v>3238</v>
      </c>
      <c r="C34">
        <v>1</v>
      </c>
      <c r="E34" s="18">
        <f t="shared" si="3"/>
        <v>-1.6456040507785377</v>
      </c>
      <c r="G34" s="102">
        <f t="shared" si="7"/>
        <v>1.2652445964275928E-7</v>
      </c>
      <c r="H34" s="102">
        <f t="shared" si="7"/>
        <v>9.7096872703463926E-7</v>
      </c>
      <c r="I34" s="102">
        <f t="shared" si="7"/>
        <v>4.9343945182436926E-6</v>
      </c>
      <c r="J34" s="102">
        <f t="shared" si="7"/>
        <v>2.008695927931314E-5</v>
      </c>
      <c r="K34" s="102">
        <f t="shared" si="7"/>
        <v>7.0497305694599326E-5</v>
      </c>
      <c r="L34" s="102">
        <f t="shared" si="7"/>
        <v>2.2161061262721218E-4</v>
      </c>
      <c r="M34" s="102">
        <f t="shared" si="7"/>
        <v>6.3846389610318984E-4</v>
      </c>
      <c r="N34" s="102">
        <f t="shared" si="7"/>
        <v>1.7111813593568646E-3</v>
      </c>
      <c r="O34" s="102">
        <f t="shared" si="7"/>
        <v>4.3091057922081807E-3</v>
      </c>
      <c r="P34" s="102">
        <f t="shared" si="7"/>
        <v>1.0258040174526811E-2</v>
      </c>
      <c r="Q34" s="102">
        <f t="shared" si="7"/>
        <v>2.3136938810730479E-2</v>
      </c>
      <c r="R34" s="102">
        <f t="shared" si="7"/>
        <v>4.930475226331759E-2</v>
      </c>
      <c r="S34" s="102">
        <f t="shared" si="7"/>
        <v>9.8218115634336398E-2</v>
      </c>
      <c r="T34" s="102">
        <f t="shared" si="7"/>
        <v>0.17864886878123612</v>
      </c>
      <c r="U34" s="102">
        <f t="shared" si="7"/>
        <v>0.28366543197715038</v>
      </c>
      <c r="V34" s="102">
        <f t="shared" si="5"/>
        <v>0.36295842820059498</v>
      </c>
      <c r="W34" s="102">
        <f t="shared" si="5"/>
        <v>0.32654022202884253</v>
      </c>
      <c r="X34" s="102">
        <f t="shared" si="5"/>
        <v>0.16502509232991586</v>
      </c>
      <c r="Y34" s="102">
        <f t="shared" si="5"/>
        <v>3.2720517770859429E-2</v>
      </c>
      <c r="Z34" s="102">
        <f t="shared" si="5"/>
        <v>1.4557087535156318E-3</v>
      </c>
      <c r="AA34" s="102">
        <f t="shared" si="5"/>
        <v>6.2188239983611406E-6</v>
      </c>
      <c r="AB34" s="102">
        <f t="shared" si="5"/>
        <v>7.2355298026807371E-10</v>
      </c>
      <c r="AC34" s="102">
        <f t="shared" si="5"/>
        <v>3.6691434381264422E-16</v>
      </c>
      <c r="AD34" s="102">
        <f t="shared" si="5"/>
        <v>5.9211880238727016E-26</v>
      </c>
      <c r="AE34" s="102">
        <f t="shared" si="5"/>
        <v>7.6279146818235572E-41</v>
      </c>
      <c r="AF34" s="102">
        <f t="shared" si="5"/>
        <v>4.5628201065605971E-63</v>
      </c>
      <c r="AG34" s="102">
        <f t="shared" si="5"/>
        <v>9.5567611043708126E-96</v>
      </c>
      <c r="AH34" s="102">
        <f t="shared" si="5"/>
        <v>2.6592740379849818E-143</v>
      </c>
      <c r="AI34" s="102">
        <f t="shared" si="5"/>
        <v>3.287218223302216E-212</v>
      </c>
      <c r="AJ34" s="102">
        <f t="shared" si="5"/>
        <v>0</v>
      </c>
      <c r="AK34" s="102">
        <f t="shared" si="5"/>
        <v>0</v>
      </c>
      <c r="AL34" s="102">
        <f t="shared" si="6"/>
        <v>0</v>
      </c>
    </row>
    <row r="35" spans="1:38">
      <c r="A35">
        <v>2012</v>
      </c>
      <c r="B35">
        <v>3251</v>
      </c>
      <c r="C35">
        <v>0</v>
      </c>
      <c r="D35" s="18"/>
      <c r="E35" s="18">
        <f t="shared" si="3"/>
        <v>-0.97444171935521606</v>
      </c>
      <c r="G35" s="102">
        <f t="shared" si="7"/>
        <v>0.9999998729676558</v>
      </c>
      <c r="H35" s="102">
        <f t="shared" si="7"/>
        <v>0.99999902513242656</v>
      </c>
      <c r="I35" s="102">
        <f t="shared" si="7"/>
        <v>0.99999504578262988</v>
      </c>
      <c r="J35" s="102">
        <f t="shared" si="7"/>
        <v>0.99997983219326447</v>
      </c>
      <c r="K35" s="102">
        <f t="shared" si="7"/>
        <v>0.99992921717565109</v>
      </c>
      <c r="L35" s="102">
        <f t="shared" si="7"/>
        <v>0.99977747510470538</v>
      </c>
      <c r="M35" s="102">
        <f t="shared" si="7"/>
        <v>0.99935876885874964</v>
      </c>
      <c r="N35" s="102">
        <f t="shared" si="7"/>
        <v>0.9982804816070513</v>
      </c>
      <c r="O35" s="102">
        <f t="shared" si="7"/>
        <v>0.99566425903088962</v>
      </c>
      <c r="P35" s="102">
        <f t="shared" si="7"/>
        <v>0.98964744709641028</v>
      </c>
      <c r="Q35" s="102">
        <f t="shared" si="7"/>
        <v>0.97649400862880986</v>
      </c>
      <c r="R35" s="102">
        <f t="shared" si="7"/>
        <v>0.9491950130407365</v>
      </c>
      <c r="S35" s="102">
        <f t="shared" si="7"/>
        <v>0.89580532368411447</v>
      </c>
      <c r="T35" s="102">
        <f t="shared" si="7"/>
        <v>0.79911848599113855</v>
      </c>
      <c r="U35" s="102">
        <f t="shared" si="7"/>
        <v>0.6424159922404552</v>
      </c>
      <c r="V35" s="102">
        <f t="shared" si="5"/>
        <v>0.42851983293521273</v>
      </c>
      <c r="W35" s="102">
        <f t="shared" si="5"/>
        <v>0.20644085078686283</v>
      </c>
      <c r="X35" s="102">
        <f t="shared" si="5"/>
        <v>5.7237843976139867E-2</v>
      </c>
      <c r="Y35" s="102">
        <f t="shared" si="5"/>
        <v>6.3604855734364337E-3</v>
      </c>
      <c r="Z35" s="102">
        <f t="shared" si="5"/>
        <v>1.6142907836911978E-4</v>
      </c>
      <c r="AA35" s="102">
        <f t="shared" si="5"/>
        <v>3.9857756605711503E-7</v>
      </c>
      <c r="AB35" s="102">
        <f t="shared" si="5"/>
        <v>2.6982037851957874E-11</v>
      </c>
      <c r="AC35" s="102">
        <f t="shared" si="5"/>
        <v>7.9448174208035815E-18</v>
      </c>
      <c r="AD35" s="102">
        <f t="shared" si="5"/>
        <v>7.3406003723498589E-28</v>
      </c>
      <c r="AE35" s="102">
        <f t="shared" si="5"/>
        <v>5.2506312026521117E-43</v>
      </c>
      <c r="AF35" s="102">
        <f t="shared" si="5"/>
        <v>1.652937495915125E-65</v>
      </c>
      <c r="AG35" s="102">
        <f t="shared" si="5"/>
        <v>1.6729779084980504E-98</v>
      </c>
      <c r="AH35" s="102">
        <f t="shared" si="5"/>
        <v>1.9750336073722643E-146</v>
      </c>
      <c r="AI35" s="102">
        <f t="shared" si="5"/>
        <v>8.516517778912664E-216</v>
      </c>
      <c r="AJ35" s="102">
        <f t="shared" si="5"/>
        <v>0</v>
      </c>
      <c r="AK35" s="102">
        <f t="shared" si="5"/>
        <v>0</v>
      </c>
      <c r="AL35" s="102">
        <f>COMBIN($B35,$C35)*AL$6^$C35*(1-AL$6)^($B35-$C35)</f>
        <v>0</v>
      </c>
    </row>
    <row r="36" spans="1:38">
      <c r="A36">
        <v>2013</v>
      </c>
      <c r="B36">
        <v>3262</v>
      </c>
      <c r="C36">
        <v>0</v>
      </c>
      <c r="D36" s="18"/>
      <c r="E36" s="18">
        <f t="shared" si="3"/>
        <v>-0.97616774715218479</v>
      </c>
      <c r="G36" s="102">
        <f t="shared" si="7"/>
        <v>0.9999998725378324</v>
      </c>
      <c r="H36" s="102">
        <f t="shared" si="7"/>
        <v>0.99999902183389155</v>
      </c>
      <c r="I36" s="102">
        <f t="shared" si="7"/>
        <v>0.99999502901970905</v>
      </c>
      <c r="J36" s="102">
        <f t="shared" si="7"/>
        <v>0.99997976395468269</v>
      </c>
      <c r="K36" s="102">
        <f t="shared" si="7"/>
        <v>0.99992897768521194</v>
      </c>
      <c r="L36" s="102">
        <f t="shared" si="7"/>
        <v>0.9997767222592544</v>
      </c>
      <c r="M36" s="102">
        <f t="shared" si="7"/>
        <v>0.99935659990367665</v>
      </c>
      <c r="N36" s="102">
        <f t="shared" si="7"/>
        <v>0.99827466851080993</v>
      </c>
      <c r="O36" s="102">
        <f t="shared" si="7"/>
        <v>0.99564962068622642</v>
      </c>
      <c r="P36" s="102">
        <f t="shared" si="7"/>
        <v>0.98961260102495507</v>
      </c>
      <c r="Q36" s="102">
        <f t="shared" si="7"/>
        <v>0.97641541970090495</v>
      </c>
      <c r="R36" s="102">
        <f t="shared" si="7"/>
        <v>0.94902756800384891</v>
      </c>
      <c r="S36" s="102">
        <f t="shared" si="7"/>
        <v>0.8954718756506691</v>
      </c>
      <c r="T36" s="102">
        <f t="shared" si="7"/>
        <v>0.79851238227505361</v>
      </c>
      <c r="U36" s="102">
        <f t="shared" si="7"/>
        <v>0.64145482467663706</v>
      </c>
      <c r="V36" s="102">
        <f t="shared" si="5"/>
        <v>0.42729289673291637</v>
      </c>
      <c r="W36" s="102">
        <f t="shared" si="5"/>
        <v>0.20534172231507669</v>
      </c>
      <c r="X36" s="102">
        <f t="shared" si="5"/>
        <v>5.6686519890849198E-2</v>
      </c>
      <c r="Y36" s="102">
        <f t="shared" si="5"/>
        <v>6.2525650408935063E-3</v>
      </c>
      <c r="Z36" s="102">
        <f t="shared" si="5"/>
        <v>1.567296601651852E-4</v>
      </c>
      <c r="AA36" s="102">
        <f t="shared" si="5"/>
        <v>3.7919247531883668E-7</v>
      </c>
      <c r="AB36" s="102">
        <f t="shared" si="5"/>
        <v>2.4849291088469065E-11</v>
      </c>
      <c r="AC36" s="102">
        <f t="shared" si="5"/>
        <v>6.9538462609104394E-18</v>
      </c>
      <c r="AD36" s="102">
        <f t="shared" si="5"/>
        <v>5.9418374752978398E-28</v>
      </c>
      <c r="AE36" s="102">
        <f t="shared" si="5"/>
        <v>3.7770671854237505E-43</v>
      </c>
      <c r="AF36" s="102">
        <f t="shared" si="5"/>
        <v>9.9784386113013567E-66</v>
      </c>
      <c r="AG36" s="102">
        <f t="shared" si="5"/>
        <v>7.8100915009735826E-99</v>
      </c>
      <c r="AH36" s="102">
        <f t="shared" si="5"/>
        <v>6.3470620296528233E-147</v>
      </c>
      <c r="AI36" s="102">
        <f t="shared" si="5"/>
        <v>1.5942543939645632E-216</v>
      </c>
      <c r="AJ36" s="102">
        <f t="shared" si="5"/>
        <v>0</v>
      </c>
      <c r="AK36" s="102">
        <f t="shared" si="5"/>
        <v>0</v>
      </c>
      <c r="AL36" s="102">
        <f t="shared" ref="AL36:BA39" si="8">COMBIN($B36,$C36)*AL$6^$C36*(1-AL$6)^($B36-$C36)</f>
        <v>0</v>
      </c>
    </row>
    <row r="37" spans="1:38">
      <c r="A37">
        <v>2014</v>
      </c>
      <c r="B37">
        <v>3358</v>
      </c>
      <c r="C37">
        <v>0</v>
      </c>
      <c r="D37" s="18"/>
      <c r="E37" s="18">
        <f t="shared" si="3"/>
        <v>-0.99107166027387361</v>
      </c>
      <c r="G37" s="102">
        <f t="shared" si="7"/>
        <v>0.99999986878664682</v>
      </c>
      <c r="H37" s="102">
        <f t="shared" si="7"/>
        <v>0.99999899304667528</v>
      </c>
      <c r="I37" s="102">
        <f t="shared" si="7"/>
        <v>0.99999488272513926</v>
      </c>
      <c r="J37" s="102">
        <f t="shared" si="7"/>
        <v>0.99997916841816636</v>
      </c>
      <c r="K37" s="102">
        <f t="shared" si="7"/>
        <v>0.9999268875892684</v>
      </c>
      <c r="L37" s="102">
        <f t="shared" si="7"/>
        <v>0.99977015199574482</v>
      </c>
      <c r="M37" s="102">
        <f t="shared" si="7"/>
        <v>0.99933767104103</v>
      </c>
      <c r="N37" s="102">
        <f t="shared" si="7"/>
        <v>0.99822393747132032</v>
      </c>
      <c r="O37" s="102">
        <f t="shared" si="7"/>
        <v>0.99552187699477412</v>
      </c>
      <c r="P37" s="102">
        <f t="shared" si="7"/>
        <v>0.98930854193066464</v>
      </c>
      <c r="Q37" s="102">
        <f t="shared" si="7"/>
        <v>0.97572982110625339</v>
      </c>
      <c r="R37" s="102">
        <f t="shared" si="7"/>
        <v>0.94756748273198055</v>
      </c>
      <c r="S37" s="102">
        <f t="shared" si="7"/>
        <v>0.89256704711778845</v>
      </c>
      <c r="T37" s="102">
        <f t="shared" si="7"/>
        <v>0.79324222469580707</v>
      </c>
      <c r="U37" s="102">
        <f t="shared" si="7"/>
        <v>0.63312725954483617</v>
      </c>
      <c r="V37" s="102">
        <f t="shared" si="5"/>
        <v>0.41673310749757347</v>
      </c>
      <c r="W37" s="102">
        <f t="shared" si="5"/>
        <v>0.19599434616888148</v>
      </c>
      <c r="X37" s="102">
        <f t="shared" si="5"/>
        <v>5.2094869940640165E-2</v>
      </c>
      <c r="Y37" s="102">
        <f t="shared" si="5"/>
        <v>5.3851357719383302E-3</v>
      </c>
      <c r="Z37" s="102">
        <f t="shared" si="5"/>
        <v>1.211086774017762E-4</v>
      </c>
      <c r="AA37" s="102">
        <f t="shared" si="5"/>
        <v>2.4540694614764278E-7</v>
      </c>
      <c r="AB37" s="102">
        <f t="shared" si="5"/>
        <v>1.2112122101426571E-11</v>
      </c>
      <c r="AC37" s="102">
        <f t="shared" si="5"/>
        <v>2.174078597211213E-18</v>
      </c>
      <c r="AD37" s="102">
        <f t="shared" si="5"/>
        <v>9.3899388800565747E-29</v>
      </c>
      <c r="AE37" s="102">
        <f t="shared" si="5"/>
        <v>2.131370529719282E-44</v>
      </c>
      <c r="AF37" s="102">
        <f t="shared" si="5"/>
        <v>1.2192651299219647E-67</v>
      </c>
      <c r="AG37" s="102">
        <f t="shared" si="5"/>
        <v>1.0124575928841638E-101</v>
      </c>
      <c r="AH37" s="102">
        <f t="shared" si="5"/>
        <v>3.1623653194359902E-151</v>
      </c>
      <c r="AI37" s="102">
        <f t="shared" si="5"/>
        <v>7.1069384745726311E-223</v>
      </c>
      <c r="AJ37" s="102">
        <f t="shared" si="5"/>
        <v>0</v>
      </c>
      <c r="AK37" s="102">
        <f t="shared" si="5"/>
        <v>0</v>
      </c>
      <c r="AL37" s="102">
        <f t="shared" si="8"/>
        <v>0</v>
      </c>
    </row>
    <row r="38" spans="1:38">
      <c r="A38">
        <v>2015</v>
      </c>
      <c r="B38">
        <v>3513</v>
      </c>
      <c r="C38">
        <v>0</v>
      </c>
      <c r="D38" s="18"/>
      <c r="E38" s="18">
        <f t="shared" si="3"/>
        <v>-1.0145541120867521</v>
      </c>
      <c r="G38" s="102">
        <f t="shared" si="7"/>
        <v>0.99999986273004515</v>
      </c>
      <c r="H38" s="102">
        <f t="shared" si="7"/>
        <v>0.99999894656731769</v>
      </c>
      <c r="I38" s="102">
        <f t="shared" si="7"/>
        <v>0.99999464652041015</v>
      </c>
      <c r="J38" s="102">
        <f t="shared" si="7"/>
        <v>0.99997820687558137</v>
      </c>
      <c r="K38" s="102">
        <f t="shared" si="7"/>
        <v>0.99992351296441384</v>
      </c>
      <c r="L38" s="102">
        <f t="shared" si="7"/>
        <v>0.99975954384892352</v>
      </c>
      <c r="M38" s="102">
        <f t="shared" si="7"/>
        <v>0.99930710957164448</v>
      </c>
      <c r="N38" s="102">
        <f t="shared" si="7"/>
        <v>0.99814203342206875</v>
      </c>
      <c r="O38" s="102">
        <f t="shared" si="7"/>
        <v>0.99531565875307138</v>
      </c>
      <c r="P38" s="102">
        <f t="shared" si="7"/>
        <v>0.98881781036174032</v>
      </c>
      <c r="Q38" s="102">
        <f t="shared" si="7"/>
        <v>0.97462388099981256</v>
      </c>
      <c r="R38" s="102">
        <f t="shared" si="7"/>
        <v>0.94521479333553859</v>
      </c>
      <c r="S38" s="102">
        <f t="shared" si="7"/>
        <v>0.88789683557582211</v>
      </c>
      <c r="T38" s="102">
        <f t="shared" si="7"/>
        <v>0.78480643409142292</v>
      </c>
      <c r="U38" s="102">
        <f t="shared" si="7"/>
        <v>0.61990929735397737</v>
      </c>
      <c r="V38" s="102">
        <f t="shared" si="5"/>
        <v>0.40023148262866221</v>
      </c>
      <c r="W38" s="102">
        <f t="shared" si="5"/>
        <v>0.18179193750631453</v>
      </c>
      <c r="X38" s="102">
        <f t="shared" si="5"/>
        <v>4.5453175632647141E-2</v>
      </c>
      <c r="Y38" s="102">
        <f t="shared" si="5"/>
        <v>4.2312848445119292E-3</v>
      </c>
      <c r="Z38" s="102">
        <f t="shared" si="5"/>
        <v>7.986946770714915E-5</v>
      </c>
      <c r="AA38" s="102">
        <f t="shared" si="5"/>
        <v>1.2155544614481488E-7</v>
      </c>
      <c r="AB38" s="102">
        <f t="shared" si="5"/>
        <v>3.7959357392237725E-12</v>
      </c>
      <c r="AC38" s="102">
        <f t="shared" si="5"/>
        <v>3.3265314824249705E-19</v>
      </c>
      <c r="AD38" s="102">
        <f t="shared" si="5"/>
        <v>4.7749073356517987E-30</v>
      </c>
      <c r="AE38" s="102">
        <f t="shared" si="5"/>
        <v>2.0552209639404595E-46</v>
      </c>
      <c r="AF38" s="102">
        <f t="shared" si="5"/>
        <v>9.9416314060956964E-71</v>
      </c>
      <c r="AG38" s="102">
        <f t="shared" si="5"/>
        <v>2.2060931040232376E-106</v>
      </c>
      <c r="AH38" s="102">
        <f t="shared" si="5"/>
        <v>3.5741208676110929E-158</v>
      </c>
      <c r="AI38" s="102">
        <f t="shared" si="5"/>
        <v>3.9597295140639807E-233</v>
      </c>
      <c r="AJ38" s="102">
        <f t="shared" si="5"/>
        <v>0</v>
      </c>
      <c r="AK38" s="102">
        <f t="shared" si="5"/>
        <v>0</v>
      </c>
      <c r="AL38" s="102">
        <f t="shared" si="8"/>
        <v>0</v>
      </c>
    </row>
    <row r="39" spans="1:38">
      <c r="A39" s="3">
        <v>2016</v>
      </c>
      <c r="B39" s="3">
        <v>3525</v>
      </c>
      <c r="C39" s="3">
        <v>1</v>
      </c>
      <c r="D39" s="18"/>
      <c r="E39" s="18">
        <f t="shared" si="3"/>
        <v>-1.6605558944215595</v>
      </c>
      <c r="G39" s="102">
        <f t="shared" si="7"/>
        <v>1.3773894849878981E-7</v>
      </c>
      <c r="H39" s="102">
        <f t="shared" si="7"/>
        <v>1.0570304102026547E-6</v>
      </c>
      <c r="I39" s="102">
        <f t="shared" si="7"/>
        <v>5.3717520288601696E-6</v>
      </c>
      <c r="J39" s="102">
        <f t="shared" si="7"/>
        <v>2.1867327175023431E-5</v>
      </c>
      <c r="K39" s="102">
        <f t="shared" si="7"/>
        <v>7.6745351973877383E-5</v>
      </c>
      <c r="L39" s="102">
        <f t="shared" si="7"/>
        <v>2.4124832057571702E-4</v>
      </c>
      <c r="M39" s="102">
        <f t="shared" si="7"/>
        <v>6.950147606156914E-4</v>
      </c>
      <c r="N39" s="102">
        <f t="shared" si="7"/>
        <v>1.8625688476402085E-3</v>
      </c>
      <c r="O39" s="102">
        <f t="shared" si="7"/>
        <v>4.689244101606327E-3</v>
      </c>
      <c r="P39" s="102">
        <f t="shared" si="7"/>
        <v>1.115700658558549E-2</v>
      </c>
      <c r="Q39" s="102">
        <f t="shared" si="7"/>
        <v>2.5134844355318091E-2</v>
      </c>
      <c r="R39" s="102">
        <f t="shared" si="7"/>
        <v>5.3428377378920484E-2</v>
      </c>
      <c r="S39" s="102">
        <f t="shared" si="7"/>
        <v>0.10589007828872385</v>
      </c>
      <c r="T39" s="102">
        <f t="shared" si="7"/>
        <v>0.19067116085736607</v>
      </c>
      <c r="U39" s="102">
        <f t="shared" si="7"/>
        <v>0.29697686413838031</v>
      </c>
      <c r="V39" s="102">
        <f t="shared" si="7"/>
        <v>0.36664803446884409</v>
      </c>
      <c r="W39" s="102">
        <f t="shared" si="5"/>
        <v>0.30926356454511894</v>
      </c>
      <c r="X39" s="102">
        <f t="shared" si="5"/>
        <v>0.13955965359792952</v>
      </c>
      <c r="Y39" s="102">
        <f t="shared" si="5"/>
        <v>2.2792575567825907E-2</v>
      </c>
      <c r="Z39" s="102">
        <f t="shared" si="5"/>
        <v>7.3315431440830415E-4</v>
      </c>
      <c r="AA39" s="102">
        <f t="shared" si="5"/>
        <v>1.8434884944715263E-6</v>
      </c>
      <c r="AB39" s="102">
        <f t="shared" si="5"/>
        <v>9.1901436661646523E-11</v>
      </c>
      <c r="AC39" s="102">
        <f t="shared" si="5"/>
        <v>1.2355414748579191E-17</v>
      </c>
      <c r="AD39" s="102">
        <f t="shared" si="5"/>
        <v>2.5933644732806799E-28</v>
      </c>
      <c r="AE39" s="102">
        <f t="shared" si="5"/>
        <v>1.5374677239442825E-44</v>
      </c>
      <c r="AF39" s="102">
        <f t="shared" si="5"/>
        <v>9.4874396725969075E-69</v>
      </c>
      <c r="AG39" s="102">
        <f t="shared" si="5"/>
        <v>2.429019446487902E-104</v>
      </c>
      <c r="AH39" s="102">
        <f t="shared" si="5"/>
        <v>3.9699185725771683E-156</v>
      </c>
      <c r="AI39" s="102">
        <f t="shared" si="5"/>
        <v>3.6918203609322071E-231</v>
      </c>
      <c r="AJ39" s="102">
        <f t="shared" si="5"/>
        <v>0</v>
      </c>
      <c r="AK39" s="102">
        <f t="shared" si="5"/>
        <v>0</v>
      </c>
      <c r="AL39" s="102">
        <f t="shared" si="8"/>
        <v>0</v>
      </c>
    </row>
    <row r="40" spans="1:38">
      <c r="A40" s="3">
        <v>2017</v>
      </c>
      <c r="B40" s="3">
        <v>3510</v>
      </c>
      <c r="C40" s="3">
        <v>0</v>
      </c>
      <c r="D40" s="18"/>
      <c r="E40" s="18">
        <f t="shared" si="3"/>
        <v>-1.0141061775394828</v>
      </c>
      <c r="F40" s="3"/>
      <c r="G40" s="102">
        <f t="shared" si="7"/>
        <v>0.99999986284726972</v>
      </c>
      <c r="H40" s="102">
        <f t="shared" ref="H40:AL41" si="9">COMBIN($B40,$C40)*H$6^$C40*(1-H$6)^($B40-$C40)</f>
        <v>0.9999989474669182</v>
      </c>
      <c r="I40" s="102">
        <f t="shared" si="9"/>
        <v>0.99999465109211405</v>
      </c>
      <c r="J40" s="102">
        <f t="shared" si="9"/>
        <v>0.99997822548607429</v>
      </c>
      <c r="K40" s="102">
        <f t="shared" si="9"/>
        <v>0.99992357827962564</v>
      </c>
      <c r="L40" s="102">
        <f t="shared" si="9"/>
        <v>0.99975974916682608</v>
      </c>
      <c r="M40" s="102">
        <f t="shared" si="9"/>
        <v>0.99930770107508549</v>
      </c>
      <c r="N40" s="102">
        <f t="shared" si="9"/>
        <v>0.99814361859795431</v>
      </c>
      <c r="O40" s="102">
        <f t="shared" si="9"/>
        <v>0.99531964966845821</v>
      </c>
      <c r="P40" s="102">
        <f t="shared" si="9"/>
        <v>0.98882730608163361</v>
      </c>
      <c r="Q40" s="102">
        <f t="shared" si="9"/>
        <v>0.97464527439149762</v>
      </c>
      <c r="R40" s="102">
        <f t="shared" si="9"/>
        <v>0.94526027377669186</v>
      </c>
      <c r="S40" s="102">
        <f t="shared" si="9"/>
        <v>0.88798699445199392</v>
      </c>
      <c r="T40" s="102">
        <f t="shared" si="9"/>
        <v>0.78496885299716956</v>
      </c>
      <c r="U40" s="102">
        <f t="shared" si="9"/>
        <v>0.62016249126154488</v>
      </c>
      <c r="V40" s="102">
        <f t="shared" si="9"/>
        <v>0.40054458270093712</v>
      </c>
      <c r="W40" s="102">
        <f t="shared" si="9"/>
        <v>0.18205680636432939</v>
      </c>
      <c r="X40" s="102">
        <f t="shared" si="9"/>
        <v>4.5573316252048746E-2</v>
      </c>
      <c r="Y40" s="102">
        <f t="shared" si="9"/>
        <v>4.2510791023693756E-3</v>
      </c>
      <c r="Z40" s="102">
        <f t="shared" si="9"/>
        <v>8.0515600792185354E-5</v>
      </c>
      <c r="AA40" s="102">
        <f t="shared" si="9"/>
        <v>1.2321960819331319E-7</v>
      </c>
      <c r="AB40" s="102">
        <f t="shared" si="9"/>
        <v>3.8821452623870075E-12</v>
      </c>
      <c r="AC40" s="102">
        <f t="shared" si="9"/>
        <v>3.449620504455759E-19</v>
      </c>
      <c r="AD40" s="102">
        <f t="shared" si="9"/>
        <v>5.0582962419627691E-30</v>
      </c>
      <c r="AE40" s="102">
        <f t="shared" si="9"/>
        <v>2.2484022619157397E-46</v>
      </c>
      <c r="AF40" s="102">
        <f t="shared" si="9"/>
        <v>1.1408742969867263E-70</v>
      </c>
      <c r="AG40" s="102">
        <f t="shared" si="9"/>
        <v>2.7155094256381668E-106</v>
      </c>
      <c r="AH40" s="102">
        <f t="shared" si="9"/>
        <v>4.8710687267084377E-158</v>
      </c>
      <c r="AI40" s="102">
        <f t="shared" si="9"/>
        <v>6.2536038521951712E-233</v>
      </c>
      <c r="AJ40" s="102">
        <f t="shared" si="9"/>
        <v>0</v>
      </c>
      <c r="AK40" s="102">
        <f t="shared" si="9"/>
        <v>0</v>
      </c>
      <c r="AL40" s="102">
        <f t="shared" si="9"/>
        <v>0</v>
      </c>
    </row>
    <row r="41" spans="1:38">
      <c r="A41" s="3">
        <v>2018</v>
      </c>
      <c r="B41">
        <v>3532</v>
      </c>
      <c r="C41">
        <v>0</v>
      </c>
      <c r="D41" s="18"/>
      <c r="E41" s="18">
        <f t="shared" si="3"/>
        <v>-1.0173851649318075</v>
      </c>
      <c r="F41" s="3"/>
      <c r="G41" s="102">
        <f t="shared" si="7"/>
        <v>0.99999986198762303</v>
      </c>
      <c r="H41" s="102">
        <f t="shared" si="9"/>
        <v>0.99999894086984831</v>
      </c>
      <c r="I41" s="102">
        <f t="shared" si="9"/>
        <v>0.99999461756628572</v>
      </c>
      <c r="J41" s="102">
        <f t="shared" si="9"/>
        <v>0.99997808900913454</v>
      </c>
      <c r="K41" s="102">
        <f t="shared" si="9"/>
        <v>0.99992309930150569</v>
      </c>
      <c r="L41" s="102">
        <f t="shared" si="9"/>
        <v>0.99975824350318687</v>
      </c>
      <c r="M41" s="102">
        <f t="shared" si="9"/>
        <v>0.99930336339131598</v>
      </c>
      <c r="N41" s="102">
        <f t="shared" si="9"/>
        <v>0.99813199403325403</v>
      </c>
      <c r="O41" s="102">
        <f t="shared" si="9"/>
        <v>0.99529038332722697</v>
      </c>
      <c r="P41" s="102">
        <f t="shared" si="9"/>
        <v>0.98875767291995664</v>
      </c>
      <c r="Q41" s="102">
        <f t="shared" si="9"/>
        <v>0.97448840042348217</v>
      </c>
      <c r="R41" s="102">
        <f t="shared" si="9"/>
        <v>0.94492680135336549</v>
      </c>
      <c r="S41" s="102">
        <f t="shared" si="9"/>
        <v>0.88732604189766262</v>
      </c>
      <c r="T41" s="102">
        <f t="shared" si="9"/>
        <v>0.78377856114772015</v>
      </c>
      <c r="U41" s="102">
        <f t="shared" si="9"/>
        <v>0.61830813471481261</v>
      </c>
      <c r="V41" s="102">
        <f t="shared" si="9"/>
        <v>0.39825419115703053</v>
      </c>
      <c r="W41" s="102">
        <f t="shared" si="9"/>
        <v>0.18012336030351012</v>
      </c>
      <c r="X41" s="102">
        <f t="shared" si="9"/>
        <v>4.4699605506345767E-2</v>
      </c>
      <c r="Y41" s="102">
        <f t="shared" si="9"/>
        <v>4.1080439244153373E-3</v>
      </c>
      <c r="Z41" s="102">
        <f t="shared" si="9"/>
        <v>7.589599992486275E-5</v>
      </c>
      <c r="AA41" s="102">
        <f t="shared" si="9"/>
        <v>1.1152533673495367E-7</v>
      </c>
      <c r="AB41" s="102">
        <f t="shared" si="9"/>
        <v>3.2926858278511379E-12</v>
      </c>
      <c r="AC41" s="102">
        <f t="shared" si="9"/>
        <v>2.6427351916933492E-19</v>
      </c>
      <c r="AD41" s="102">
        <f t="shared" si="9"/>
        <v>3.3142299279638833E-30</v>
      </c>
      <c r="AE41" s="102">
        <f t="shared" si="9"/>
        <v>1.1634839679093632E-46</v>
      </c>
      <c r="AF41" s="102">
        <f t="shared" si="9"/>
        <v>4.1576709265276075E-71</v>
      </c>
      <c r="AG41" s="102">
        <f t="shared" si="9"/>
        <v>5.9181115404977302E-107</v>
      </c>
      <c r="AH41" s="102">
        <f t="shared" si="9"/>
        <v>5.0306113052268835E-159</v>
      </c>
      <c r="AI41" s="102">
        <f t="shared" si="9"/>
        <v>2.1913991909526619E-234</v>
      </c>
      <c r="AJ41" s="102">
        <f t="shared" si="9"/>
        <v>0</v>
      </c>
      <c r="AK41" s="102">
        <f t="shared" si="9"/>
        <v>0</v>
      </c>
      <c r="AL41" s="102">
        <f t="shared" si="9"/>
        <v>0</v>
      </c>
    </row>
    <row r="42" spans="1:38">
      <c r="B42" s="3"/>
      <c r="D42" s="18"/>
      <c r="E42" s="18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T42" s="8"/>
      <c r="U42" s="8"/>
      <c r="V42" s="8"/>
      <c r="W42" s="8"/>
    </row>
    <row r="43" spans="1:38">
      <c r="B43" s="3"/>
      <c r="D43" s="18"/>
      <c r="E43" s="18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</row>
    <row r="44" spans="1:38">
      <c r="B44" s="3"/>
      <c r="D44" s="18"/>
      <c r="E44" s="18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</row>
    <row r="45" spans="1:38">
      <c r="B45" s="3"/>
      <c r="D45" s="18"/>
      <c r="E45" s="18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</row>
    <row r="46" spans="1:38">
      <c r="B46" s="3"/>
      <c r="D46" s="18"/>
      <c r="E46" s="18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</row>
    <row r="47" spans="1:38">
      <c r="B47" s="3"/>
      <c r="D47" s="18"/>
      <c r="E47" s="18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T47" s="8"/>
      <c r="U47" s="8"/>
      <c r="V47" s="8"/>
      <c r="W47" s="8"/>
    </row>
    <row r="48" spans="1:38">
      <c r="B48" s="3"/>
      <c r="D48" s="18"/>
      <c r="E48" s="18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</row>
    <row r="49" spans="2:16">
      <c r="B49" s="3"/>
      <c r="D49" s="18"/>
      <c r="E49" s="18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</row>
    <row r="50" spans="2:16">
      <c r="B50" s="3"/>
      <c r="D50" s="18"/>
      <c r="E50" s="18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</row>
    <row r="51" spans="2:16">
      <c r="D51" s="19"/>
      <c r="E51" s="19"/>
    </row>
    <row r="52" spans="2:16">
      <c r="B52" s="3"/>
      <c r="D52" s="18"/>
      <c r="E52" s="18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</row>
    <row r="53" spans="2:16">
      <c r="B53" s="3"/>
      <c r="D53" s="18"/>
      <c r="E53" s="18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</row>
    <row r="54" spans="2:16">
      <c r="B54" s="3"/>
      <c r="D54" s="18"/>
      <c r="E54" s="18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</row>
    <row r="55" spans="2:16">
      <c r="B55" s="3"/>
      <c r="D55" s="18"/>
      <c r="E55" s="18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</row>
    <row r="56" spans="2:16">
      <c r="B56" s="3"/>
      <c r="D56" s="18"/>
      <c r="E56" s="18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</row>
    <row r="57" spans="2:16">
      <c r="B57" s="3"/>
      <c r="D57" s="18"/>
      <c r="E57" s="18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</row>
    <row r="58" spans="2:16">
      <c r="B58" s="3"/>
      <c r="D58" s="18"/>
      <c r="E58" s="18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</row>
    <row r="59" spans="2:16">
      <c r="B59" s="3"/>
      <c r="D59" s="18"/>
      <c r="E59" s="18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</row>
    <row r="60" spans="2:16">
      <c r="B60" s="3"/>
      <c r="D60" s="18"/>
      <c r="E60" s="18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</row>
    <row r="61" spans="2:16">
      <c r="B61" s="3"/>
      <c r="D61" s="18"/>
      <c r="E61" s="18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</row>
    <row r="62" spans="2:16">
      <c r="B62" s="3"/>
      <c r="D62" s="18"/>
      <c r="E62" s="18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</row>
    <row r="63" spans="2:16">
      <c r="B63" s="3"/>
      <c r="D63" s="18"/>
      <c r="E63" s="18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</row>
    <row r="64" spans="2:16">
      <c r="B64" s="3"/>
      <c r="D64" s="18"/>
      <c r="E64" s="18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</row>
    <row r="65" spans="2:16">
      <c r="B65" s="3"/>
      <c r="D65" s="18"/>
      <c r="E65" s="18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</row>
    <row r="66" spans="2:16">
      <c r="B66" s="3"/>
      <c r="D66" s="18"/>
      <c r="E66" s="18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</row>
    <row r="67" spans="2:16">
      <c r="B67" s="3"/>
      <c r="D67" s="18"/>
      <c r="E67" s="18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</row>
    <row r="68" spans="2:16">
      <c r="B68" s="3"/>
      <c r="D68" s="18"/>
      <c r="E68" s="18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</row>
    <row r="69" spans="2:16">
      <c r="B69" s="3"/>
      <c r="D69" s="18"/>
      <c r="E69" s="18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</row>
    <row r="70" spans="2:16">
      <c r="B70" s="3"/>
      <c r="D70" s="18"/>
      <c r="E70" s="18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</row>
    <row r="71" spans="2:16">
      <c r="B71" s="3"/>
      <c r="D71" s="18"/>
      <c r="E71" s="18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</row>
    <row r="72" spans="2:16">
      <c r="E72" s="19"/>
    </row>
    <row r="73" spans="2:16">
      <c r="E73" s="19"/>
      <c r="F73" s="3"/>
      <c r="G73" s="7"/>
      <c r="H73" s="7"/>
      <c r="I73" s="7"/>
      <c r="J73" s="7"/>
      <c r="K73" s="7"/>
      <c r="L73" s="7"/>
      <c r="M73" s="7"/>
      <c r="N73" s="7"/>
      <c r="O73" s="7"/>
      <c r="P73" s="7"/>
    </row>
    <row r="74" spans="2:16">
      <c r="E74" s="19"/>
      <c r="F74" s="3"/>
      <c r="G74" s="7"/>
      <c r="H74" s="7"/>
      <c r="I74" s="7"/>
      <c r="J74" s="7"/>
      <c r="K74" s="7"/>
      <c r="L74" s="7"/>
      <c r="M74" s="7"/>
      <c r="N74" s="7"/>
      <c r="O74" s="7"/>
      <c r="P74" s="7"/>
    </row>
    <row r="75" spans="2:16">
      <c r="E75" s="19"/>
      <c r="F75" s="3"/>
      <c r="G75" s="7"/>
      <c r="H75" s="7"/>
      <c r="I75" s="7"/>
      <c r="J75" s="7"/>
      <c r="K75" s="7"/>
      <c r="L75" s="7"/>
      <c r="M75" s="7"/>
      <c r="N75" s="7"/>
      <c r="O75" s="7"/>
      <c r="P75" s="7"/>
    </row>
    <row r="76" spans="2:16">
      <c r="E76" s="19"/>
      <c r="F76" s="3"/>
      <c r="G76" s="7"/>
      <c r="H76" s="7"/>
      <c r="I76" s="7"/>
      <c r="J76" s="7"/>
      <c r="K76" s="7"/>
      <c r="L76" s="7"/>
      <c r="M76" s="7"/>
      <c r="N76" s="7"/>
      <c r="O76" s="7"/>
      <c r="P76" s="7"/>
    </row>
    <row r="77" spans="2:16">
      <c r="E77" s="19"/>
      <c r="F77" s="3"/>
      <c r="G77" s="7"/>
      <c r="H77" s="7"/>
      <c r="I77" s="7"/>
      <c r="J77" s="7"/>
      <c r="K77" s="7"/>
      <c r="L77" s="7"/>
      <c r="M77" s="7"/>
      <c r="N77" s="7"/>
      <c r="O77" s="7"/>
      <c r="P77" s="7"/>
    </row>
    <row r="78" spans="2:16">
      <c r="E78" s="19"/>
      <c r="F78" s="3"/>
      <c r="G78" s="7"/>
      <c r="H78" s="7"/>
      <c r="I78" s="7"/>
      <c r="J78" s="7"/>
      <c r="K78" s="7"/>
      <c r="L78" s="7"/>
      <c r="M78" s="7"/>
      <c r="N78" s="7"/>
      <c r="O78" s="7"/>
      <c r="P78" s="7"/>
    </row>
    <row r="79" spans="2:16">
      <c r="E79" s="19"/>
      <c r="F79" s="3"/>
      <c r="G79" s="7"/>
      <c r="H79" s="7"/>
      <c r="I79" s="7"/>
      <c r="J79" s="7"/>
      <c r="K79" s="7"/>
      <c r="L79" s="7"/>
      <c r="M79" s="7"/>
      <c r="N79" s="7"/>
      <c r="O79" s="7"/>
      <c r="P79" s="7"/>
    </row>
    <row r="80" spans="2:16">
      <c r="E80" s="19"/>
      <c r="F80" s="3"/>
      <c r="G80" s="7"/>
      <c r="H80" s="7"/>
      <c r="I80" s="7"/>
      <c r="J80" s="7"/>
      <c r="K80" s="7"/>
      <c r="L80" s="7"/>
      <c r="M80" s="7"/>
      <c r="N80" s="7"/>
      <c r="O80" s="7"/>
      <c r="P80" s="7"/>
    </row>
    <row r="81" spans="5:16">
      <c r="E81" s="19"/>
      <c r="F81" s="3"/>
      <c r="G81" s="7"/>
      <c r="H81" s="7"/>
      <c r="I81" s="7"/>
      <c r="J81" s="7"/>
      <c r="K81" s="7"/>
      <c r="L81" s="7"/>
      <c r="M81" s="7"/>
      <c r="N81" s="7"/>
      <c r="O81" s="7"/>
      <c r="P81" s="7"/>
    </row>
    <row r="82" spans="5:16">
      <c r="E82" s="19"/>
      <c r="F82" s="3"/>
      <c r="G82" s="7"/>
      <c r="H82" s="7"/>
      <c r="I82" s="7"/>
      <c r="J82" s="7"/>
      <c r="K82" s="7"/>
      <c r="L82" s="7"/>
      <c r="M82" s="7"/>
      <c r="N82" s="7"/>
      <c r="O82" s="7"/>
      <c r="P82" s="7"/>
    </row>
    <row r="83" spans="5:16">
      <c r="E83" s="19"/>
      <c r="F83" s="3"/>
      <c r="G83" s="7"/>
      <c r="H83" s="7"/>
      <c r="I83" s="7"/>
      <c r="J83" s="7"/>
      <c r="K83" s="7"/>
      <c r="L83" s="7"/>
      <c r="M83" s="7"/>
      <c r="N83" s="7"/>
      <c r="O83" s="7"/>
      <c r="P83" s="7"/>
    </row>
    <row r="84" spans="5:16">
      <c r="E84" s="19"/>
      <c r="F84" s="3"/>
      <c r="G84" s="7"/>
      <c r="H84" s="7"/>
      <c r="I84" s="7"/>
      <c r="J84" s="7"/>
      <c r="K84" s="7"/>
      <c r="L84" s="7"/>
      <c r="M84" s="7"/>
      <c r="N84" s="7"/>
      <c r="O84" s="7"/>
      <c r="P84" s="7"/>
    </row>
    <row r="85" spans="5:16">
      <c r="E85" s="19"/>
      <c r="F85" s="3"/>
      <c r="G85" s="7"/>
      <c r="H85" s="7"/>
      <c r="I85" s="7"/>
      <c r="J85" s="7"/>
      <c r="K85" s="7"/>
      <c r="L85" s="7"/>
      <c r="M85" s="7"/>
      <c r="N85" s="7"/>
      <c r="O85" s="7"/>
      <c r="P85" s="7"/>
    </row>
    <row r="86" spans="5:16">
      <c r="E86" s="19"/>
      <c r="F86" s="3"/>
      <c r="G86" s="7"/>
      <c r="H86" s="7"/>
      <c r="I86" s="7"/>
      <c r="J86" s="7"/>
      <c r="K86" s="7"/>
      <c r="L86" s="7"/>
      <c r="M86" s="7"/>
      <c r="N86" s="7"/>
      <c r="O86" s="7"/>
      <c r="P86" s="7"/>
    </row>
    <row r="87" spans="5:16">
      <c r="E87" s="19"/>
      <c r="F87" s="3"/>
      <c r="G87" s="7"/>
      <c r="H87" s="7"/>
      <c r="I87" s="7"/>
      <c r="J87" s="7"/>
      <c r="K87" s="7"/>
      <c r="L87" s="7"/>
      <c r="M87" s="7"/>
      <c r="N87" s="7"/>
      <c r="O87" s="7"/>
      <c r="P87" s="7"/>
    </row>
    <row r="88" spans="5:16">
      <c r="E88" s="19"/>
      <c r="F88" s="3"/>
      <c r="G88" s="7"/>
      <c r="H88" s="7"/>
      <c r="I88" s="7"/>
      <c r="J88" s="7"/>
      <c r="K88" s="7"/>
      <c r="L88" s="7"/>
      <c r="M88" s="7"/>
      <c r="N88" s="7"/>
      <c r="O88" s="7"/>
      <c r="P88" s="7"/>
    </row>
    <row r="89" spans="5:16">
      <c r="E89" s="19"/>
      <c r="F89" s="3"/>
      <c r="G89" s="7"/>
      <c r="H89" s="7"/>
      <c r="I89" s="7"/>
      <c r="J89" s="7"/>
      <c r="K89" s="7"/>
      <c r="L89" s="7"/>
      <c r="M89" s="7"/>
      <c r="N89" s="7"/>
      <c r="O89" s="7"/>
      <c r="P89" s="7"/>
    </row>
    <row r="90" spans="5:16">
      <c r="E90" s="19"/>
      <c r="F90" s="3"/>
      <c r="G90" s="7"/>
      <c r="H90" s="7"/>
      <c r="I90" s="7"/>
      <c r="J90" s="7"/>
      <c r="K90" s="7"/>
      <c r="L90" s="7"/>
      <c r="M90" s="7"/>
      <c r="N90" s="7"/>
      <c r="O90" s="7"/>
      <c r="P90" s="7"/>
    </row>
    <row r="91" spans="5:16">
      <c r="E91" s="19"/>
      <c r="F91" s="3"/>
      <c r="G91" s="7"/>
      <c r="H91" s="7"/>
      <c r="I91" s="7"/>
      <c r="J91" s="7"/>
      <c r="K91" s="7"/>
      <c r="L91" s="7"/>
      <c r="M91" s="7"/>
      <c r="N91" s="7"/>
      <c r="O91" s="7"/>
      <c r="P91" s="7"/>
    </row>
    <row r="92" spans="5:16">
      <c r="E92" s="19"/>
      <c r="F92" s="3"/>
      <c r="G92" s="7"/>
      <c r="H92" s="7"/>
      <c r="I92" s="7"/>
      <c r="J92" s="7"/>
      <c r="K92" s="7"/>
      <c r="L92" s="7"/>
      <c r="M92" s="7"/>
      <c r="N92" s="7"/>
      <c r="O92" s="7"/>
      <c r="P92" s="7"/>
    </row>
    <row r="93" spans="5:16">
      <c r="E93" s="19"/>
    </row>
    <row r="94" spans="5:16">
      <c r="E94" s="19"/>
    </row>
    <row r="95" spans="5:16">
      <c r="E95" s="19"/>
    </row>
    <row r="96" spans="5:16">
      <c r="E96" s="19"/>
    </row>
    <row r="97" spans="5:5">
      <c r="E97" s="19"/>
    </row>
    <row r="98" spans="5:5">
      <c r="E98" s="19"/>
    </row>
    <row r="99" spans="5:5">
      <c r="E99" s="19"/>
    </row>
    <row r="100" spans="5:5">
      <c r="E100" s="19"/>
    </row>
    <row r="101" spans="5:5">
      <c r="E101" s="19"/>
    </row>
    <row r="102" spans="5:5">
      <c r="E102" s="19"/>
    </row>
    <row r="103" spans="5:5">
      <c r="E103" s="19"/>
    </row>
    <row r="104" spans="5:5">
      <c r="E104" s="19"/>
    </row>
    <row r="105" spans="5:5">
      <c r="E105" s="19"/>
    </row>
    <row r="106" spans="5:5">
      <c r="E106" s="19"/>
    </row>
    <row r="107" spans="5:5">
      <c r="E107" s="19"/>
    </row>
    <row r="108" spans="5:5">
      <c r="E108" s="19"/>
    </row>
    <row r="109" spans="5:5">
      <c r="E109" s="19"/>
    </row>
    <row r="110" spans="5:5">
      <c r="E110" s="19"/>
    </row>
    <row r="111" spans="5:5">
      <c r="E111" s="19"/>
    </row>
    <row r="112" spans="5:5">
      <c r="E112" s="19"/>
    </row>
    <row r="113" spans="5:5">
      <c r="E113" s="19"/>
    </row>
    <row r="114" spans="5:5">
      <c r="E114" s="19"/>
    </row>
    <row r="115" spans="5:5">
      <c r="E115" s="19"/>
    </row>
    <row r="116" spans="5:5">
      <c r="E116" s="19"/>
    </row>
    <row r="117" spans="5:5">
      <c r="E117" s="19"/>
    </row>
    <row r="118" spans="5:5">
      <c r="E118" s="19"/>
    </row>
    <row r="119" spans="5:5">
      <c r="E119" s="19"/>
    </row>
    <row r="120" spans="5:5">
      <c r="E120" s="19"/>
    </row>
    <row r="121" spans="5:5">
      <c r="E121" s="19"/>
    </row>
    <row r="122" spans="5:5">
      <c r="E122" s="19"/>
    </row>
    <row r="123" spans="5:5">
      <c r="E123" s="19"/>
    </row>
    <row r="124" spans="5:5">
      <c r="E124" s="19"/>
    </row>
    <row r="125" spans="5:5">
      <c r="E125" s="19"/>
    </row>
    <row r="126" spans="5:5">
      <c r="E126" s="19"/>
    </row>
    <row r="127" spans="5:5">
      <c r="E127" s="19"/>
    </row>
    <row r="128" spans="5:5">
      <c r="E128" s="19"/>
    </row>
    <row r="129" spans="5:23">
      <c r="E129" s="19"/>
    </row>
    <row r="130" spans="5:23">
      <c r="E130" s="19"/>
    </row>
    <row r="131" spans="5:23">
      <c r="E131" s="19"/>
    </row>
    <row r="132" spans="5:23">
      <c r="E132" s="19"/>
      <c r="T132" s="8"/>
      <c r="U132" s="8"/>
      <c r="V132" s="8"/>
      <c r="W132" s="8"/>
    </row>
    <row r="133" spans="5:23">
      <c r="E133" s="19"/>
    </row>
    <row r="134" spans="5:23">
      <c r="E134" s="19"/>
    </row>
    <row r="135" spans="5:23">
      <c r="E135" s="19"/>
    </row>
    <row r="136" spans="5:23">
      <c r="E136" s="19"/>
    </row>
    <row r="137" spans="5:23">
      <c r="E137" s="19"/>
    </row>
    <row r="138" spans="5:23">
      <c r="E138" s="19"/>
    </row>
    <row r="139" spans="5:23">
      <c r="E139" s="19"/>
    </row>
    <row r="140" spans="5:23">
      <c r="E140" s="19"/>
    </row>
    <row r="141" spans="5:23">
      <c r="E141" s="19"/>
    </row>
    <row r="142" spans="5:23">
      <c r="E142" s="19"/>
    </row>
    <row r="143" spans="5:23">
      <c r="E143" s="19"/>
    </row>
    <row r="144" spans="5:23">
      <c r="E144" s="19"/>
    </row>
    <row r="145" spans="5:5">
      <c r="E145" s="19"/>
    </row>
    <row r="146" spans="5:5">
      <c r="E146" s="19"/>
    </row>
    <row r="147" spans="5:5">
      <c r="E147" s="19"/>
    </row>
    <row r="148" spans="5:5">
      <c r="E148" s="19"/>
    </row>
    <row r="149" spans="5:5">
      <c r="E149" s="19"/>
    </row>
    <row r="150" spans="5:5">
      <c r="E150" s="19"/>
    </row>
    <row r="151" spans="5:5">
      <c r="E151" s="19"/>
    </row>
    <row r="152" spans="5:5">
      <c r="E152" s="19"/>
    </row>
    <row r="153" spans="5:5">
      <c r="E153" s="19"/>
    </row>
    <row r="154" spans="5:5">
      <c r="E154" s="19"/>
    </row>
    <row r="155" spans="5:5">
      <c r="E155" s="19"/>
    </row>
    <row r="156" spans="5:5">
      <c r="E156" s="19"/>
    </row>
    <row r="157" spans="5:5">
      <c r="E157" s="19"/>
    </row>
    <row r="158" spans="5:5">
      <c r="E158" s="19"/>
    </row>
    <row r="159" spans="5:5">
      <c r="E159" s="19"/>
    </row>
    <row r="160" spans="5:5">
      <c r="E160" s="19"/>
    </row>
    <row r="161" spans="5:5">
      <c r="E161" s="19"/>
    </row>
    <row r="162" spans="5:5">
      <c r="E162" s="19"/>
    </row>
    <row r="163" spans="5:5">
      <c r="E163" s="19"/>
    </row>
    <row r="164" spans="5:5">
      <c r="E164" s="19"/>
    </row>
    <row r="165" spans="5:5">
      <c r="E165" s="19"/>
    </row>
    <row r="166" spans="5:5">
      <c r="E166" s="19"/>
    </row>
    <row r="167" spans="5:5">
      <c r="E167" s="19"/>
    </row>
    <row r="168" spans="5:5">
      <c r="E168" s="19"/>
    </row>
    <row r="169" spans="5:5">
      <c r="E169" s="19"/>
    </row>
    <row r="170" spans="5:5">
      <c r="E170" s="19"/>
    </row>
    <row r="171" spans="5:5">
      <c r="E171" s="19"/>
    </row>
    <row r="172" spans="5:5">
      <c r="E172" s="19"/>
    </row>
    <row r="173" spans="5:5">
      <c r="E173" s="19"/>
    </row>
    <row r="174" spans="5:5">
      <c r="E174" s="19"/>
    </row>
    <row r="175" spans="5:5">
      <c r="E175" s="19"/>
    </row>
    <row r="176" spans="5:5">
      <c r="E176" s="19"/>
    </row>
    <row r="177" spans="5:5">
      <c r="E177" s="19"/>
    </row>
    <row r="178" spans="5:5">
      <c r="E178" s="19"/>
    </row>
    <row r="179" spans="5:5">
      <c r="E179" s="19"/>
    </row>
    <row r="180" spans="5:5">
      <c r="E180" s="19"/>
    </row>
    <row r="181" spans="5:5">
      <c r="E181" s="19"/>
    </row>
    <row r="182" spans="5:5">
      <c r="E182" s="19"/>
    </row>
    <row r="183" spans="5:5">
      <c r="E183" s="19"/>
    </row>
    <row r="184" spans="5:5">
      <c r="E184" s="19"/>
    </row>
    <row r="185" spans="5:5">
      <c r="E185" s="19"/>
    </row>
    <row r="186" spans="5:5">
      <c r="E186" s="19"/>
    </row>
    <row r="187" spans="5:5">
      <c r="E187" s="19"/>
    </row>
    <row r="188" spans="5:5">
      <c r="E188" s="19"/>
    </row>
    <row r="189" spans="5:5">
      <c r="E189" s="19"/>
    </row>
    <row r="190" spans="5:5">
      <c r="E190" s="19"/>
    </row>
    <row r="191" spans="5:5">
      <c r="E191" s="19"/>
    </row>
    <row r="192" spans="5:5">
      <c r="E192" s="19"/>
    </row>
    <row r="193" spans="5:5">
      <c r="E193" s="19"/>
    </row>
    <row r="194" spans="5:5">
      <c r="E194" s="19"/>
    </row>
    <row r="195" spans="5:5">
      <c r="E195" s="19"/>
    </row>
    <row r="196" spans="5:5">
      <c r="E196" s="19"/>
    </row>
    <row r="197" spans="5:5">
      <c r="E197" s="19"/>
    </row>
    <row r="198" spans="5:5">
      <c r="E198" s="19"/>
    </row>
    <row r="199" spans="5:5">
      <c r="E199" s="19"/>
    </row>
    <row r="200" spans="5:5">
      <c r="E200" s="19"/>
    </row>
    <row r="201" spans="5:5">
      <c r="E201" s="19"/>
    </row>
    <row r="202" spans="5:5">
      <c r="E202" s="19"/>
    </row>
    <row r="203" spans="5:5">
      <c r="E203" s="19"/>
    </row>
    <row r="204" spans="5:5">
      <c r="E204" s="19"/>
    </row>
    <row r="205" spans="5:5">
      <c r="E205" s="19"/>
    </row>
    <row r="206" spans="5:5">
      <c r="E206" s="19"/>
    </row>
    <row r="207" spans="5:5">
      <c r="E207" s="19"/>
    </row>
    <row r="208" spans="5:5">
      <c r="E208" s="19"/>
    </row>
    <row r="209" spans="5:5">
      <c r="E209" s="19"/>
    </row>
    <row r="210" spans="5:5">
      <c r="E210" s="19"/>
    </row>
    <row r="211" spans="5:5">
      <c r="E211" s="19"/>
    </row>
    <row r="212" spans="5:5">
      <c r="E212" s="19"/>
    </row>
    <row r="213" spans="5:5">
      <c r="E213" s="19"/>
    </row>
    <row r="214" spans="5:5">
      <c r="E214" s="19"/>
    </row>
    <row r="215" spans="5:5">
      <c r="E215" s="19"/>
    </row>
    <row r="216" spans="5:5">
      <c r="E216" s="19"/>
    </row>
    <row r="217" spans="5:5">
      <c r="E217" s="19"/>
    </row>
    <row r="218" spans="5:5">
      <c r="E218" s="19"/>
    </row>
    <row r="219" spans="5:5">
      <c r="E219" s="19"/>
    </row>
    <row r="220" spans="5:5">
      <c r="E220" s="19"/>
    </row>
    <row r="221" spans="5:5">
      <c r="E221" s="19"/>
    </row>
    <row r="222" spans="5:5">
      <c r="E222" s="19"/>
    </row>
    <row r="223" spans="5:5">
      <c r="E223" s="19"/>
    </row>
    <row r="224" spans="5:5">
      <c r="E224" s="19"/>
    </row>
    <row r="225" spans="5:5">
      <c r="E225" s="19"/>
    </row>
    <row r="226" spans="5:5">
      <c r="E226" s="19"/>
    </row>
    <row r="227" spans="5:5">
      <c r="E227" s="19"/>
    </row>
    <row r="228" spans="5:5">
      <c r="E228" s="19"/>
    </row>
    <row r="229" spans="5:5">
      <c r="E229" s="19"/>
    </row>
    <row r="230" spans="5:5">
      <c r="E230" s="19"/>
    </row>
    <row r="231" spans="5:5">
      <c r="E231" s="19"/>
    </row>
    <row r="232" spans="5:5">
      <c r="E232" s="19"/>
    </row>
    <row r="233" spans="5:5">
      <c r="E233" s="19"/>
    </row>
    <row r="234" spans="5:5">
      <c r="E234" s="19"/>
    </row>
    <row r="235" spans="5:5">
      <c r="E235" s="19"/>
    </row>
    <row r="236" spans="5:5">
      <c r="E236" s="19"/>
    </row>
    <row r="237" spans="5:5">
      <c r="E237" s="19"/>
    </row>
    <row r="238" spans="5:5">
      <c r="E238" s="19"/>
    </row>
    <row r="239" spans="5:5">
      <c r="E239" s="19"/>
    </row>
    <row r="240" spans="5:5">
      <c r="E240" s="19"/>
    </row>
    <row r="241" spans="5:5">
      <c r="E241" s="19"/>
    </row>
    <row r="242" spans="5:5">
      <c r="E242" s="19"/>
    </row>
    <row r="243" spans="5:5">
      <c r="E243" s="19"/>
    </row>
    <row r="244" spans="5:5">
      <c r="E244" s="19"/>
    </row>
    <row r="245" spans="5:5">
      <c r="E245" s="19"/>
    </row>
    <row r="246" spans="5:5">
      <c r="E246" s="19"/>
    </row>
    <row r="247" spans="5:5">
      <c r="E247" s="19"/>
    </row>
    <row r="248" spans="5:5">
      <c r="E248" s="19"/>
    </row>
    <row r="249" spans="5:5">
      <c r="E249" s="19"/>
    </row>
    <row r="250" spans="5:5">
      <c r="E250" s="19"/>
    </row>
    <row r="251" spans="5:5">
      <c r="E251" s="19"/>
    </row>
    <row r="252" spans="5:5">
      <c r="E252" s="19"/>
    </row>
    <row r="253" spans="5:5">
      <c r="E253" s="19"/>
    </row>
    <row r="254" spans="5:5">
      <c r="E254" s="19"/>
    </row>
    <row r="255" spans="5:5">
      <c r="E255" s="19"/>
    </row>
    <row r="256" spans="5:5">
      <c r="E256" s="19"/>
    </row>
    <row r="257" spans="5:5">
      <c r="E257" s="19"/>
    </row>
    <row r="258" spans="5:5">
      <c r="E258" s="19"/>
    </row>
    <row r="259" spans="5:5">
      <c r="E259" s="19"/>
    </row>
    <row r="260" spans="5:5">
      <c r="E260" s="19"/>
    </row>
    <row r="261" spans="5:5">
      <c r="E261" s="19"/>
    </row>
    <row r="262" spans="5:5">
      <c r="E262" s="19"/>
    </row>
    <row r="263" spans="5:5">
      <c r="E263" s="19"/>
    </row>
    <row r="264" spans="5:5">
      <c r="E264" s="19"/>
    </row>
    <row r="265" spans="5:5">
      <c r="E265" s="19"/>
    </row>
    <row r="266" spans="5:5">
      <c r="E266" s="19"/>
    </row>
    <row r="267" spans="5:5">
      <c r="E267" s="19"/>
    </row>
    <row r="268" spans="5:5">
      <c r="E268" s="19"/>
    </row>
    <row r="269" spans="5:5">
      <c r="E269" s="19"/>
    </row>
    <row r="270" spans="5:5">
      <c r="E270" s="19"/>
    </row>
    <row r="271" spans="5:5">
      <c r="E271" s="19"/>
    </row>
    <row r="272" spans="5:5">
      <c r="E272" s="19"/>
    </row>
    <row r="273" spans="5:5">
      <c r="E273" s="19"/>
    </row>
    <row r="274" spans="5:5">
      <c r="E274" s="19"/>
    </row>
    <row r="275" spans="5:5">
      <c r="E275" s="19"/>
    </row>
    <row r="276" spans="5:5">
      <c r="E276" s="19"/>
    </row>
    <row r="277" spans="5:5">
      <c r="E277" s="19"/>
    </row>
    <row r="278" spans="5:5">
      <c r="E278" s="19"/>
    </row>
    <row r="279" spans="5:5">
      <c r="E279" s="19"/>
    </row>
    <row r="280" spans="5:5">
      <c r="E280" s="19"/>
    </row>
    <row r="281" spans="5:5">
      <c r="E281" s="19"/>
    </row>
    <row r="282" spans="5:5">
      <c r="E282" s="19"/>
    </row>
    <row r="283" spans="5:5">
      <c r="E283" s="19"/>
    </row>
    <row r="284" spans="5:5">
      <c r="E284" s="19"/>
    </row>
    <row r="285" spans="5:5">
      <c r="E285" s="19"/>
    </row>
    <row r="286" spans="5:5">
      <c r="E286" s="19"/>
    </row>
    <row r="287" spans="5:5">
      <c r="E287" s="19"/>
    </row>
    <row r="288" spans="5:5">
      <c r="E288" s="19"/>
    </row>
    <row r="289" spans="5:5">
      <c r="E289" s="19"/>
    </row>
    <row r="290" spans="5:5">
      <c r="E290" s="19"/>
    </row>
    <row r="291" spans="5:5">
      <c r="E291" s="19"/>
    </row>
    <row r="292" spans="5:5">
      <c r="E292" s="19"/>
    </row>
    <row r="293" spans="5:5">
      <c r="E293" s="19"/>
    </row>
    <row r="294" spans="5:5">
      <c r="E294" s="19"/>
    </row>
    <row r="295" spans="5:5">
      <c r="E295" s="19"/>
    </row>
    <row r="296" spans="5:5">
      <c r="E296" s="19"/>
    </row>
    <row r="297" spans="5:5">
      <c r="E297" s="19"/>
    </row>
    <row r="298" spans="5:5">
      <c r="E298" s="19"/>
    </row>
    <row r="299" spans="5:5">
      <c r="E299" s="19"/>
    </row>
    <row r="300" spans="5:5">
      <c r="E300" s="19"/>
    </row>
    <row r="301" spans="5:5">
      <c r="E301" s="19"/>
    </row>
    <row r="302" spans="5:5">
      <c r="E302" s="19"/>
    </row>
    <row r="303" spans="5:5">
      <c r="E303" s="19"/>
    </row>
    <row r="304" spans="5:5">
      <c r="E304" s="19"/>
    </row>
    <row r="305" spans="5:5">
      <c r="E305" s="19"/>
    </row>
    <row r="306" spans="5:5">
      <c r="E306" s="19"/>
    </row>
    <row r="307" spans="5:5">
      <c r="E307" s="19"/>
    </row>
    <row r="308" spans="5:5">
      <c r="E308" s="19"/>
    </row>
    <row r="309" spans="5:5">
      <c r="E309" s="19"/>
    </row>
    <row r="310" spans="5:5">
      <c r="E310" s="19"/>
    </row>
    <row r="311" spans="5:5">
      <c r="E311" s="19"/>
    </row>
    <row r="312" spans="5:5">
      <c r="E312" s="19"/>
    </row>
    <row r="313" spans="5:5">
      <c r="E313" s="19"/>
    </row>
    <row r="314" spans="5:5">
      <c r="E314" s="19"/>
    </row>
    <row r="315" spans="5:5">
      <c r="E315" s="19"/>
    </row>
    <row r="316" spans="5:5">
      <c r="E316" s="19"/>
    </row>
    <row r="317" spans="5:5">
      <c r="E317" s="19"/>
    </row>
    <row r="318" spans="5:5">
      <c r="E318" s="19"/>
    </row>
    <row r="319" spans="5:5">
      <c r="E319" s="19"/>
    </row>
    <row r="320" spans="5:5">
      <c r="E320" s="19"/>
    </row>
    <row r="321" spans="5:5">
      <c r="E321" s="19"/>
    </row>
    <row r="322" spans="5:5">
      <c r="E322" s="19"/>
    </row>
    <row r="323" spans="5:5">
      <c r="E323" s="19"/>
    </row>
    <row r="324" spans="5:5">
      <c r="E324" s="19"/>
    </row>
    <row r="325" spans="5:5">
      <c r="E325" s="19"/>
    </row>
    <row r="326" spans="5:5">
      <c r="E326" s="19"/>
    </row>
    <row r="327" spans="5:5">
      <c r="E327" s="19"/>
    </row>
    <row r="328" spans="5:5">
      <c r="E328" s="19"/>
    </row>
    <row r="329" spans="5:5">
      <c r="E329" s="19"/>
    </row>
    <row r="330" spans="5:5">
      <c r="E330" s="19"/>
    </row>
    <row r="331" spans="5:5">
      <c r="E331" s="19"/>
    </row>
    <row r="332" spans="5:5">
      <c r="E332" s="19"/>
    </row>
    <row r="333" spans="5:5">
      <c r="E333" s="19"/>
    </row>
    <row r="334" spans="5:5">
      <c r="E334" s="19"/>
    </row>
    <row r="335" spans="5:5">
      <c r="E335" s="19"/>
    </row>
    <row r="336" spans="5:5">
      <c r="E336" s="19"/>
    </row>
    <row r="337" spans="5:5">
      <c r="E337" s="19"/>
    </row>
    <row r="338" spans="5:5">
      <c r="E338" s="19"/>
    </row>
    <row r="339" spans="5:5">
      <c r="E339" s="19"/>
    </row>
    <row r="340" spans="5:5">
      <c r="E340" s="19"/>
    </row>
    <row r="341" spans="5:5">
      <c r="E341" s="19"/>
    </row>
    <row r="342" spans="5:5">
      <c r="E342" s="19"/>
    </row>
    <row r="343" spans="5:5">
      <c r="E343" s="19"/>
    </row>
    <row r="344" spans="5:5">
      <c r="E344" s="19"/>
    </row>
    <row r="345" spans="5:5">
      <c r="E345" s="19"/>
    </row>
    <row r="346" spans="5:5">
      <c r="E346" s="19"/>
    </row>
    <row r="347" spans="5:5">
      <c r="E347" s="19"/>
    </row>
    <row r="348" spans="5:5">
      <c r="E348" s="19"/>
    </row>
    <row r="349" spans="5:5">
      <c r="E349" s="19"/>
    </row>
    <row r="350" spans="5:5">
      <c r="E350" s="19"/>
    </row>
    <row r="351" spans="5:5">
      <c r="E351" s="19"/>
    </row>
    <row r="352" spans="5:5">
      <c r="E352" s="19"/>
    </row>
    <row r="353" spans="5:5">
      <c r="E353" s="19"/>
    </row>
    <row r="354" spans="5:5">
      <c r="E354" s="19"/>
    </row>
    <row r="355" spans="5:5">
      <c r="E355" s="19"/>
    </row>
    <row r="356" spans="5:5">
      <c r="E356" s="19"/>
    </row>
    <row r="357" spans="5:5">
      <c r="E357" s="19"/>
    </row>
    <row r="358" spans="5:5">
      <c r="E358" s="19"/>
    </row>
    <row r="359" spans="5:5">
      <c r="E359" s="19"/>
    </row>
    <row r="360" spans="5:5">
      <c r="E360" s="19"/>
    </row>
    <row r="361" spans="5:5">
      <c r="E361" s="19"/>
    </row>
    <row r="362" spans="5:5">
      <c r="E362" s="19"/>
    </row>
    <row r="363" spans="5:5">
      <c r="E363" s="19"/>
    </row>
    <row r="364" spans="5:5">
      <c r="E364" s="19"/>
    </row>
    <row r="365" spans="5:5">
      <c r="E365" s="19"/>
    </row>
    <row r="366" spans="5:5">
      <c r="E366" s="19"/>
    </row>
    <row r="367" spans="5:5">
      <c r="E367" s="19"/>
    </row>
    <row r="368" spans="5:5">
      <c r="E368" s="19"/>
    </row>
    <row r="369" spans="5:5">
      <c r="E369" s="19"/>
    </row>
    <row r="370" spans="5:5">
      <c r="E370" s="19"/>
    </row>
    <row r="371" spans="5:5">
      <c r="E371" s="19"/>
    </row>
    <row r="372" spans="5:5">
      <c r="E372" s="19"/>
    </row>
    <row r="373" spans="5:5">
      <c r="E373" s="19"/>
    </row>
    <row r="374" spans="5:5">
      <c r="E374" s="19"/>
    </row>
    <row r="375" spans="5:5">
      <c r="E375" s="19"/>
    </row>
    <row r="376" spans="5:5">
      <c r="E376" s="19"/>
    </row>
    <row r="377" spans="5:5">
      <c r="E377" s="19"/>
    </row>
    <row r="378" spans="5:5">
      <c r="E378" s="19"/>
    </row>
    <row r="379" spans="5:5">
      <c r="E379" s="19"/>
    </row>
    <row r="380" spans="5:5">
      <c r="E380" s="19"/>
    </row>
    <row r="381" spans="5:5">
      <c r="E381" s="19"/>
    </row>
    <row r="382" spans="5:5">
      <c r="E382" s="19"/>
    </row>
    <row r="383" spans="5:5">
      <c r="E383" s="19"/>
    </row>
    <row r="384" spans="5:5">
      <c r="E384" s="19"/>
    </row>
    <row r="385" spans="5:5">
      <c r="E385" s="19"/>
    </row>
    <row r="386" spans="5:5">
      <c r="E386" s="19"/>
    </row>
    <row r="387" spans="5:5">
      <c r="E387" s="19"/>
    </row>
    <row r="388" spans="5:5">
      <c r="E388" s="19"/>
    </row>
    <row r="389" spans="5:5">
      <c r="E389" s="19"/>
    </row>
    <row r="390" spans="5:5">
      <c r="E390" s="19"/>
    </row>
    <row r="391" spans="5:5">
      <c r="E391" s="19"/>
    </row>
    <row r="392" spans="5:5">
      <c r="E392" s="19"/>
    </row>
    <row r="393" spans="5:5">
      <c r="E393" s="19"/>
    </row>
    <row r="394" spans="5:5">
      <c r="E394" s="19"/>
    </row>
    <row r="395" spans="5:5">
      <c r="E395" s="19"/>
    </row>
    <row r="396" spans="5:5">
      <c r="E396" s="19"/>
    </row>
    <row r="397" spans="5:5">
      <c r="E397" s="19"/>
    </row>
    <row r="398" spans="5:5">
      <c r="E398" s="19"/>
    </row>
    <row r="399" spans="5:5">
      <c r="E399" s="19"/>
    </row>
    <row r="400" spans="5:5">
      <c r="E400" s="19"/>
    </row>
    <row r="401" spans="5:5">
      <c r="E401" s="19"/>
    </row>
    <row r="402" spans="5:5">
      <c r="E402" s="19"/>
    </row>
    <row r="403" spans="5:5">
      <c r="E403" s="19"/>
    </row>
    <row r="404" spans="5:5">
      <c r="E404" s="19"/>
    </row>
    <row r="405" spans="5:5">
      <c r="E405" s="19"/>
    </row>
    <row r="406" spans="5:5">
      <c r="E406" s="19"/>
    </row>
    <row r="407" spans="5:5">
      <c r="E407" s="19"/>
    </row>
    <row r="408" spans="5:5">
      <c r="E408" s="19"/>
    </row>
    <row r="409" spans="5:5">
      <c r="E409" s="19"/>
    </row>
    <row r="410" spans="5:5">
      <c r="E410" s="19"/>
    </row>
    <row r="411" spans="5:5">
      <c r="E411" s="19"/>
    </row>
    <row r="412" spans="5:5">
      <c r="E412" s="19"/>
    </row>
    <row r="413" spans="5:5">
      <c r="E413" s="19"/>
    </row>
    <row r="414" spans="5:5">
      <c r="E414" s="19"/>
    </row>
    <row r="415" spans="5:5">
      <c r="E415" s="19"/>
    </row>
    <row r="416" spans="5:5">
      <c r="E416" s="19"/>
    </row>
    <row r="417" spans="5:5">
      <c r="E417" s="19"/>
    </row>
    <row r="418" spans="5:5">
      <c r="E418" s="19"/>
    </row>
    <row r="419" spans="5:5">
      <c r="E419" s="19"/>
    </row>
    <row r="420" spans="5:5">
      <c r="E420" s="19"/>
    </row>
    <row r="421" spans="5:5">
      <c r="E421" s="19"/>
    </row>
    <row r="422" spans="5:5">
      <c r="E422" s="19"/>
    </row>
    <row r="423" spans="5:5">
      <c r="E423" s="19"/>
    </row>
    <row r="424" spans="5:5">
      <c r="E424" s="19"/>
    </row>
    <row r="425" spans="5:5">
      <c r="E425" s="19"/>
    </row>
    <row r="426" spans="5:5">
      <c r="E426" s="19"/>
    </row>
    <row r="427" spans="5:5">
      <c r="E427" s="19"/>
    </row>
    <row r="428" spans="5:5">
      <c r="E428" s="19"/>
    </row>
    <row r="429" spans="5:5">
      <c r="E429" s="19"/>
    </row>
    <row r="430" spans="5:5">
      <c r="E430" s="19"/>
    </row>
    <row r="431" spans="5:5">
      <c r="E431" s="19"/>
    </row>
    <row r="432" spans="5:5">
      <c r="E432" s="19"/>
    </row>
    <row r="433" spans="5:5">
      <c r="E433" s="19"/>
    </row>
    <row r="434" spans="5:5">
      <c r="E434" s="19"/>
    </row>
    <row r="435" spans="5:5">
      <c r="E435" s="19"/>
    </row>
    <row r="436" spans="5:5">
      <c r="E436" s="19"/>
    </row>
    <row r="437" spans="5:5">
      <c r="E437" s="19"/>
    </row>
    <row r="438" spans="5:5">
      <c r="E438" s="19"/>
    </row>
    <row r="439" spans="5:5">
      <c r="E439" s="19"/>
    </row>
    <row r="440" spans="5:5">
      <c r="E440" s="19"/>
    </row>
    <row r="441" spans="5:5">
      <c r="E441" s="19"/>
    </row>
    <row r="442" spans="5:5">
      <c r="E442" s="19"/>
    </row>
    <row r="443" spans="5:5">
      <c r="E443" s="19"/>
    </row>
    <row r="444" spans="5:5">
      <c r="E444" s="19"/>
    </row>
    <row r="445" spans="5:5">
      <c r="E445" s="19"/>
    </row>
    <row r="446" spans="5:5">
      <c r="E446" s="19"/>
    </row>
    <row r="447" spans="5:5">
      <c r="E447" s="19"/>
    </row>
    <row r="448" spans="5:5">
      <c r="E448" s="19"/>
    </row>
    <row r="449" spans="5:5">
      <c r="E449" s="19"/>
    </row>
    <row r="450" spans="5:5">
      <c r="E450" s="19"/>
    </row>
    <row r="451" spans="5:5">
      <c r="E451" s="19"/>
    </row>
    <row r="452" spans="5:5">
      <c r="E452" s="19"/>
    </row>
    <row r="453" spans="5:5">
      <c r="E453" s="19"/>
    </row>
    <row r="454" spans="5:5">
      <c r="E454" s="19"/>
    </row>
    <row r="455" spans="5:5">
      <c r="E455" s="19"/>
    </row>
    <row r="456" spans="5:5">
      <c r="E456" s="19"/>
    </row>
    <row r="457" spans="5:5">
      <c r="E457" s="19"/>
    </row>
    <row r="458" spans="5:5">
      <c r="E458" s="19"/>
    </row>
    <row r="459" spans="5:5">
      <c r="E459" s="19"/>
    </row>
    <row r="460" spans="5:5">
      <c r="E460" s="19"/>
    </row>
    <row r="461" spans="5:5">
      <c r="E461" s="19"/>
    </row>
    <row r="462" spans="5:5">
      <c r="E462" s="19"/>
    </row>
    <row r="463" spans="5:5">
      <c r="E463" s="19"/>
    </row>
    <row r="464" spans="5:5">
      <c r="E464" s="19"/>
    </row>
    <row r="465" spans="5:5">
      <c r="E465" s="19"/>
    </row>
    <row r="466" spans="5:5">
      <c r="E466" s="19"/>
    </row>
    <row r="467" spans="5:5">
      <c r="E467" s="19"/>
    </row>
    <row r="468" spans="5:5">
      <c r="E468" s="19"/>
    </row>
    <row r="469" spans="5:5">
      <c r="E469" s="19"/>
    </row>
    <row r="470" spans="5:5">
      <c r="E470" s="19"/>
    </row>
    <row r="471" spans="5:5">
      <c r="E471" s="19"/>
    </row>
    <row r="472" spans="5:5">
      <c r="E472" s="19"/>
    </row>
    <row r="473" spans="5:5">
      <c r="E473" s="19"/>
    </row>
    <row r="474" spans="5:5">
      <c r="E474" s="19"/>
    </row>
    <row r="475" spans="5:5">
      <c r="E475" s="19"/>
    </row>
    <row r="476" spans="5:5">
      <c r="E476" s="19"/>
    </row>
    <row r="477" spans="5:5">
      <c r="E477" s="19"/>
    </row>
    <row r="478" spans="5:5">
      <c r="E478" s="19"/>
    </row>
    <row r="479" spans="5:5">
      <c r="E479" s="19"/>
    </row>
    <row r="480" spans="5:5">
      <c r="E480" s="19"/>
    </row>
    <row r="481" spans="5:5">
      <c r="E481" s="19"/>
    </row>
    <row r="482" spans="5:5">
      <c r="E482" s="19"/>
    </row>
    <row r="483" spans="5:5">
      <c r="E483" s="19"/>
    </row>
    <row r="484" spans="5:5">
      <c r="E484" s="19"/>
    </row>
    <row r="485" spans="5:5">
      <c r="E485" s="19"/>
    </row>
    <row r="486" spans="5:5">
      <c r="E486" s="19"/>
    </row>
    <row r="487" spans="5:5">
      <c r="E487" s="19"/>
    </row>
    <row r="488" spans="5:5">
      <c r="E488" s="19"/>
    </row>
    <row r="489" spans="5:5">
      <c r="E489" s="19"/>
    </row>
    <row r="490" spans="5:5">
      <c r="E490" s="19"/>
    </row>
    <row r="491" spans="5:5">
      <c r="E491" s="19"/>
    </row>
    <row r="492" spans="5:5">
      <c r="E492" s="19"/>
    </row>
    <row r="493" spans="5:5">
      <c r="E493" s="19"/>
    </row>
    <row r="494" spans="5:5">
      <c r="E494" s="19"/>
    </row>
    <row r="495" spans="5:5">
      <c r="E495" s="19"/>
    </row>
    <row r="496" spans="5:5">
      <c r="E496" s="19"/>
    </row>
    <row r="497" spans="5:5">
      <c r="E497" s="19"/>
    </row>
    <row r="498" spans="5:5">
      <c r="E498" s="19"/>
    </row>
    <row r="499" spans="5:5">
      <c r="E499" s="19"/>
    </row>
    <row r="500" spans="5:5">
      <c r="E500" s="19"/>
    </row>
    <row r="501" spans="5:5">
      <c r="E501" s="19"/>
    </row>
    <row r="502" spans="5:5">
      <c r="E502" s="19"/>
    </row>
    <row r="503" spans="5:5">
      <c r="E503" s="19"/>
    </row>
    <row r="504" spans="5:5">
      <c r="E504" s="19"/>
    </row>
    <row r="505" spans="5:5">
      <c r="E505" s="19"/>
    </row>
    <row r="506" spans="5:5">
      <c r="E506" s="19"/>
    </row>
    <row r="507" spans="5:5">
      <c r="E507" s="19"/>
    </row>
    <row r="508" spans="5:5">
      <c r="E508" s="19"/>
    </row>
    <row r="509" spans="5:5">
      <c r="E509" s="19"/>
    </row>
    <row r="510" spans="5:5">
      <c r="E510" s="19"/>
    </row>
    <row r="511" spans="5:5">
      <c r="E511" s="19"/>
    </row>
    <row r="512" spans="5:5">
      <c r="E512" s="19"/>
    </row>
    <row r="513" spans="5:5">
      <c r="E513" s="19"/>
    </row>
    <row r="514" spans="5:5">
      <c r="E514" s="19"/>
    </row>
    <row r="515" spans="5:5">
      <c r="E515" s="19"/>
    </row>
    <row r="516" spans="5:5">
      <c r="E516" s="19"/>
    </row>
    <row r="517" spans="5:5">
      <c r="E517" s="19"/>
    </row>
    <row r="518" spans="5:5">
      <c r="E518" s="19"/>
    </row>
    <row r="519" spans="5:5">
      <c r="E519" s="19"/>
    </row>
    <row r="520" spans="5:5">
      <c r="E520" s="19"/>
    </row>
    <row r="521" spans="5:5">
      <c r="E521" s="19"/>
    </row>
    <row r="522" spans="5:5">
      <c r="E522" s="19"/>
    </row>
    <row r="523" spans="5:5">
      <c r="E523" s="19"/>
    </row>
    <row r="524" spans="5:5">
      <c r="E524" s="19"/>
    </row>
    <row r="525" spans="5:5">
      <c r="E525" s="19"/>
    </row>
    <row r="526" spans="5:5">
      <c r="E526" s="19"/>
    </row>
    <row r="527" spans="5:5">
      <c r="E527" s="19"/>
    </row>
    <row r="528" spans="5:5">
      <c r="E528" s="19"/>
    </row>
    <row r="529" spans="5:5">
      <c r="E529" s="19"/>
    </row>
    <row r="530" spans="5:5">
      <c r="E530" s="19"/>
    </row>
    <row r="531" spans="5:5">
      <c r="E531" s="19"/>
    </row>
    <row r="532" spans="5:5">
      <c r="E532" s="19"/>
    </row>
    <row r="533" spans="5:5">
      <c r="E533" s="19"/>
    </row>
  </sheetData>
  <phoneticPr fontId="15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D17DC-60A2-4B70-A2E3-DBF268D4A50E}">
  <sheetPr codeName="Sheet8"/>
  <dimension ref="A1:AM533"/>
  <sheetViews>
    <sheetView topLeftCell="A19" zoomScale="115" zoomScaleNormal="115" workbookViewId="0">
      <selection activeCell="E18" sqref="E18"/>
    </sheetView>
  </sheetViews>
  <sheetFormatPr defaultColWidth="8.85546875" defaultRowHeight="12.75"/>
  <cols>
    <col min="1" max="1" width="6.42578125" customWidth="1"/>
    <col min="2" max="2" width="19.5703125" customWidth="1"/>
    <col min="3" max="3" width="8" customWidth="1"/>
    <col min="4" max="4" width="8.28515625" customWidth="1"/>
    <col min="5" max="5" width="46.42578125" bestFit="1" customWidth="1"/>
    <col min="6" max="6" width="37.5703125" customWidth="1"/>
    <col min="7" max="7" width="14.7109375" customWidth="1"/>
    <col min="8" max="8" width="11.28515625" customWidth="1"/>
    <col min="9" max="9" width="10.28515625" bestFit="1" customWidth="1"/>
    <col min="10" max="10" width="10.28515625" customWidth="1"/>
    <col min="11" max="11" width="10.28515625" bestFit="1" customWidth="1"/>
    <col min="12" max="12" width="12.28515625" bestFit="1" customWidth="1"/>
    <col min="13" max="15" width="10.5703125" bestFit="1" customWidth="1"/>
    <col min="16" max="16" width="12.7109375" bestFit="1" customWidth="1"/>
    <col min="17" max="26" width="10" bestFit="1" customWidth="1"/>
    <col min="27" max="27" width="10" customWidth="1"/>
    <col min="28" max="29" width="13.5703125" bestFit="1" customWidth="1"/>
    <col min="30" max="37" width="10" bestFit="1" customWidth="1"/>
    <col min="38" max="38" width="11.7109375" customWidth="1"/>
  </cols>
  <sheetData>
    <row r="1" spans="1:39">
      <c r="A1" s="9" t="s">
        <v>9</v>
      </c>
      <c r="E1" s="38" t="s">
        <v>102</v>
      </c>
      <c r="F1" s="2"/>
      <c r="G1" s="1"/>
      <c r="H1" s="10"/>
    </row>
    <row r="2" spans="1:39" ht="15.75">
      <c r="A2" s="5" t="s">
        <v>14</v>
      </c>
      <c r="B2" s="5">
        <v>3.5374947114553329E-2</v>
      </c>
      <c r="C2" s="11"/>
      <c r="D2" s="92"/>
      <c r="E2" s="93"/>
      <c r="F2" s="94" t="s">
        <v>103</v>
      </c>
      <c r="G2" s="4">
        <f>'Discrete Distribution'!A2</f>
        <v>7.125813909830728</v>
      </c>
      <c r="H2" s="4">
        <v>6.4094981492696608</v>
      </c>
      <c r="I2" s="4">
        <v>5.8122259495159136</v>
      </c>
      <c r="J2" s="4">
        <v>5.2755509865158805</v>
      </c>
      <c r="K2" s="4">
        <v>4.777164503502596</v>
      </c>
      <c r="L2" s="4">
        <v>4.3055479533511987</v>
      </c>
      <c r="M2" s="4">
        <v>3.8537554854714444</v>
      </c>
      <c r="N2" s="4">
        <v>3.4171674928185709</v>
      </c>
      <c r="O2" s="4">
        <v>2.9924908250023741</v>
      </c>
      <c r="P2" s="4">
        <v>2.5772495377323175</v>
      </c>
      <c r="Q2" s="4">
        <v>2.1694991836061122</v>
      </c>
      <c r="R2" s="4">
        <v>1.7676541094632017</v>
      </c>
      <c r="S2" s="4">
        <v>1.3703764109528718</v>
      </c>
      <c r="T2" s="4">
        <v>0.97650046358968279</v>
      </c>
      <c r="U2" s="4">
        <v>0.58497876543593241</v>
      </c>
      <c r="V2" s="4">
        <v>0.19484074156939934</v>
      </c>
      <c r="W2" s="4">
        <v>-0.19484074156939934</v>
      </c>
      <c r="X2" s="4">
        <v>-0.58497876543593241</v>
      </c>
      <c r="Y2" s="4">
        <v>-0.97650046358968279</v>
      </c>
      <c r="Z2" s="4">
        <v>-1.3703764109528718</v>
      </c>
      <c r="AA2" s="4">
        <v>-1.7676541094632017</v>
      </c>
      <c r="AB2">
        <v>-2.1694991836061122</v>
      </c>
      <c r="AC2">
        <v>-2.5772495377323175</v>
      </c>
      <c r="AD2" s="4">
        <v>-2.9924908250023741</v>
      </c>
      <c r="AE2" s="4">
        <v>-3.4171674928185709</v>
      </c>
      <c r="AF2" s="4">
        <v>-3.8537554854714444</v>
      </c>
      <c r="AG2" s="4">
        <v>-4.3055479533511987</v>
      </c>
      <c r="AH2" s="4">
        <v>-4.777164503502596</v>
      </c>
      <c r="AI2" s="4">
        <v>-5.2755509865158805</v>
      </c>
      <c r="AJ2" s="4">
        <v>-5.8122259495159136</v>
      </c>
      <c r="AK2" s="4">
        <v>-6.4094981492696608</v>
      </c>
      <c r="AL2" s="4">
        <v>-7.125813909830728</v>
      </c>
      <c r="AM2" s="4"/>
    </row>
    <row r="3" spans="1:39">
      <c r="A3" s="5" t="s">
        <v>6</v>
      </c>
      <c r="B3" s="8">
        <v>0.25389699187778803</v>
      </c>
      <c r="C3" s="8"/>
      <c r="D3" s="92"/>
      <c r="E3" s="95"/>
      <c r="F3" s="94" t="s">
        <v>104</v>
      </c>
      <c r="G3" s="37">
        <v>3.0974313976850067E-12</v>
      </c>
      <c r="H3" s="37">
        <v>3.0687676494147169E-10</v>
      </c>
      <c r="I3" s="37">
        <v>1.0346434189931964E-8</v>
      </c>
      <c r="J3" s="37">
        <v>1.8587831042048582E-7</v>
      </c>
      <c r="K3" s="37">
        <v>2.1369198300785822E-6</v>
      </c>
      <c r="L3" s="37">
        <v>1.7337640204613515E-5</v>
      </c>
      <c r="M3" s="37">
        <v>1.0541646007925857E-4</v>
      </c>
      <c r="N3" s="37">
        <v>4.9992883985248147E-4</v>
      </c>
      <c r="O3" s="37">
        <v>1.9019074802430671E-3</v>
      </c>
      <c r="P3" s="37">
        <v>5.9242168164729088E-3</v>
      </c>
      <c r="Q3" s="36">
        <v>1.5340415889209393E-2</v>
      </c>
      <c r="R3" s="36">
        <v>3.340185034481407E-2</v>
      </c>
      <c r="S3" s="36">
        <v>6.1681145194339065E-2</v>
      </c>
      <c r="T3" s="36">
        <v>9.721282100629125E-2</v>
      </c>
      <c r="U3" s="36">
        <v>0.13134554887729719</v>
      </c>
      <c r="V3" s="36">
        <v>0.15256707799664646</v>
      </c>
      <c r="W3" s="36">
        <v>0.15256707799664646</v>
      </c>
      <c r="X3" s="36">
        <v>0.13134554887729719</v>
      </c>
      <c r="Y3" s="36">
        <v>9.721282100629125E-2</v>
      </c>
      <c r="Z3" s="36">
        <v>6.1681145194339065E-2</v>
      </c>
      <c r="AA3" s="36">
        <v>3.340185034481407E-2</v>
      </c>
      <c r="AB3" s="36">
        <v>1.5340415889209393E-2</v>
      </c>
      <c r="AC3" s="36">
        <v>5.9242168164729088E-3</v>
      </c>
      <c r="AD3" s="36">
        <v>1.9019074802430671E-3</v>
      </c>
      <c r="AE3" s="36">
        <v>4.9992883985248147E-4</v>
      </c>
      <c r="AF3" s="36">
        <v>1.0541646007925857E-4</v>
      </c>
      <c r="AG3" s="36">
        <v>1.7337640204613515E-5</v>
      </c>
      <c r="AH3" s="36">
        <v>2.1369198300785822E-6</v>
      </c>
      <c r="AI3" s="36">
        <v>1.8587831042048582E-7</v>
      </c>
      <c r="AJ3" s="36">
        <v>1.0346434189931964E-8</v>
      </c>
      <c r="AK3" s="36">
        <v>3.0687676494147169E-10</v>
      </c>
      <c r="AL3" s="36">
        <v>3.0974313976850067E-12</v>
      </c>
      <c r="AM3" s="5"/>
    </row>
    <row r="4" spans="1:39">
      <c r="E4" s="96" t="s">
        <v>105</v>
      </c>
      <c r="F4" s="93"/>
    </row>
    <row r="5" spans="1:39">
      <c r="A5" s="13" t="s">
        <v>106</v>
      </c>
      <c r="B5" s="8"/>
      <c r="D5" s="5"/>
      <c r="E5" s="14" t="s">
        <v>7</v>
      </c>
      <c r="F5" s="5"/>
      <c r="G5" s="14"/>
      <c r="H5" s="5"/>
      <c r="J5" s="2"/>
      <c r="K5" s="2"/>
      <c r="L5" s="2"/>
      <c r="M5" s="2"/>
      <c r="N5" s="2"/>
      <c r="O5" s="2"/>
      <c r="P5" s="2"/>
    </row>
    <row r="6" spans="1:39">
      <c r="A6" s="5" t="s">
        <v>25</v>
      </c>
      <c r="B6" s="22">
        <f>SUM(E10:E41)</f>
        <v>-157.91717099833576</v>
      </c>
      <c r="E6" s="15"/>
      <c r="F6" s="97" t="s">
        <v>107</v>
      </c>
      <c r="G6" s="27">
        <f>NORMSDIST((NORMSINV($B$2)-$B$3*G$2)/(1-$B$3^2)^0.5)</f>
        <v>9.2443568976266664E-5</v>
      </c>
      <c r="H6" s="27">
        <f t="shared" ref="H6:AL6" si="0">NORMSDIST((NORMSINV($B$2)-$B$3*H$2)/(1-$B$3^2)^0.5)</f>
        <v>1.920409064588279E-4</v>
      </c>
      <c r="I6" s="27">
        <f t="shared" si="0"/>
        <v>3.4439428510826646E-4</v>
      </c>
      <c r="J6" s="27">
        <f t="shared" si="0"/>
        <v>5.7071271577895306E-4</v>
      </c>
      <c r="K6" s="27">
        <f t="shared" si="0"/>
        <v>8.9721688318578953E-4</v>
      </c>
      <c r="L6" s="27">
        <f t="shared" si="0"/>
        <v>1.356550807553967E-3</v>
      </c>
      <c r="M6" s="27">
        <f t="shared" si="0"/>
        <v>1.9889606604655235E-3</v>
      </c>
      <c r="N6" s="27">
        <f t="shared" si="0"/>
        <v>2.8434929597458691E-3</v>
      </c>
      <c r="O6" s="27">
        <f t="shared" si="0"/>
        <v>3.9792380367459652E-3</v>
      </c>
      <c r="P6" s="27">
        <f t="shared" si="0"/>
        <v>5.4666089541531796E-3</v>
      </c>
      <c r="Q6" s="27">
        <f t="shared" si="0"/>
        <v>7.3886345759656084E-3</v>
      </c>
      <c r="R6" s="27">
        <f t="shared" si="0"/>
        <v>9.8422392592310247E-3</v>
      </c>
      <c r="S6" s="27">
        <f t="shared" si="0"/>
        <v>1.293947740688982E-2</v>
      </c>
      <c r="T6" s="27">
        <f t="shared" si="0"/>
        <v>1.6808688501586316E-2</v>
      </c>
      <c r="U6" s="27">
        <f t="shared" si="0"/>
        <v>2.1595537650418582E-2</v>
      </c>
      <c r="V6" s="27">
        <f t="shared" si="0"/>
        <v>2.7463908973825033E-2</v>
      </c>
      <c r="W6" s="27">
        <f t="shared" si="0"/>
        <v>3.4596625707400464E-2</v>
      </c>
      <c r="X6" s="27">
        <f t="shared" si="0"/>
        <v>4.3195983695967825E-2</v>
      </c>
      <c r="Y6" s="27">
        <f t="shared" si="0"/>
        <v>5.3484107255554067E-2</v>
      </c>
      <c r="Z6" s="27">
        <f t="shared" si="0"/>
        <v>6.5703173424959238E-2</v>
      </c>
      <c r="AA6" s="27">
        <f t="shared" si="0"/>
        <v>8.0115611454261909E-2</v>
      </c>
      <c r="AB6" s="27">
        <f t="shared" si="0"/>
        <v>9.700448521441539E-2</v>
      </c>
      <c r="AC6" s="27">
        <f t="shared" si="0"/>
        <v>0.1166744376973218</v>
      </c>
      <c r="AD6" s="27">
        <f t="shared" si="0"/>
        <v>0.13945387987043323</v>
      </c>
      <c r="AE6" s="27">
        <f t="shared" si="0"/>
        <v>0.16569966955479995</v>
      </c>
      <c r="AF6" s="27">
        <f t="shared" si="0"/>
        <v>0.19580664082970431</v>
      </c>
      <c r="AG6" s="27">
        <f t="shared" si="0"/>
        <v>0.23022672626800444</v>
      </c>
      <c r="AH6" s="27">
        <f t="shared" si="0"/>
        <v>0.26950801331527979</v>
      </c>
      <c r="AI6" s="27">
        <f t="shared" si="0"/>
        <v>0.31437896837908913</v>
      </c>
      <c r="AJ6" s="27">
        <f t="shared" si="0"/>
        <v>0.3659499647719211</v>
      </c>
      <c r="AK6" s="27">
        <f t="shared" si="0"/>
        <v>0.42629449051671692</v>
      </c>
      <c r="AL6" s="27">
        <f t="shared" si="0"/>
        <v>0.50088401178884934</v>
      </c>
    </row>
    <row r="7" spans="1:39">
      <c r="A7" s="5"/>
      <c r="B7" s="110" t="s">
        <v>118</v>
      </c>
      <c r="C7" s="98"/>
      <c r="E7" s="15"/>
      <c r="G7" s="99" t="s">
        <v>22</v>
      </c>
      <c r="H7" s="100"/>
      <c r="I7" s="100"/>
      <c r="J7" s="100"/>
      <c r="K7" s="100"/>
      <c r="L7" s="2"/>
      <c r="M7" s="2"/>
      <c r="N7" s="2"/>
      <c r="O7" s="2"/>
      <c r="P7" s="2"/>
    </row>
    <row r="8" spans="1:39">
      <c r="A8" s="13" t="s">
        <v>9</v>
      </c>
      <c r="B8" s="4"/>
      <c r="C8" s="10"/>
      <c r="E8" s="14"/>
      <c r="G8" s="16"/>
      <c r="H8" s="2"/>
      <c r="I8" s="2"/>
      <c r="J8" s="2"/>
      <c r="K8" s="2"/>
      <c r="L8" s="2"/>
      <c r="M8" s="2"/>
      <c r="N8" s="2"/>
      <c r="O8" s="2"/>
      <c r="P8" s="2"/>
    </row>
    <row r="9" spans="1:39" ht="16.5">
      <c r="A9" s="1" t="s">
        <v>4</v>
      </c>
      <c r="B9" s="1" t="s">
        <v>108</v>
      </c>
      <c r="C9" s="1" t="s">
        <v>109</v>
      </c>
      <c r="D9" s="1"/>
      <c r="E9" s="13" t="s">
        <v>110</v>
      </c>
      <c r="G9" s="101" t="s">
        <v>111</v>
      </c>
      <c r="H9" s="2"/>
      <c r="I9" s="2"/>
      <c r="J9" s="2"/>
      <c r="K9" s="2"/>
      <c r="L9" s="2"/>
      <c r="M9" s="2"/>
      <c r="N9" s="2"/>
      <c r="O9" s="2"/>
      <c r="P9" s="2"/>
      <c r="S9" s="17"/>
      <c r="T9" s="17"/>
      <c r="U9" s="17"/>
      <c r="V9" s="17"/>
      <c r="W9" s="17"/>
      <c r="X9" s="17"/>
      <c r="Y9" s="17"/>
      <c r="Z9" s="17"/>
      <c r="AA9" s="17"/>
    </row>
    <row r="10" spans="1:39">
      <c r="A10">
        <v>1987</v>
      </c>
      <c r="B10">
        <v>677</v>
      </c>
      <c r="C10">
        <v>19</v>
      </c>
      <c r="E10" s="18">
        <f>LN(SUMPRODUCT(G10:AL10,G$3:AL$3))</f>
        <v>-3.4392775202958932</v>
      </c>
      <c r="F10" s="93" t="s">
        <v>112</v>
      </c>
      <c r="G10" s="102">
        <f>COMBIN($B10,$C10)*G$6^$C10*(1-G$6)^($B10-$C10)</f>
        <v>8.139912100701702E-41</v>
      </c>
      <c r="H10" s="102">
        <f t="shared" ref="H10:W25" si="1">COMBIN($B10,$C10)*H$6^$C10*(1-H$6)^($B10-$C10)</f>
        <v>8.2220095764466316E-35</v>
      </c>
      <c r="I10" s="102">
        <f t="shared" si="1"/>
        <v>4.9091975237419683E-30</v>
      </c>
      <c r="J10" s="102">
        <f t="shared" si="1"/>
        <v>6.2255465394098584E-26</v>
      </c>
      <c r="K10" s="102">
        <f t="shared" si="1"/>
        <v>2.715958401183216E-22</v>
      </c>
      <c r="L10" s="102">
        <f t="shared" si="1"/>
        <v>5.1730542009004616E-19</v>
      </c>
      <c r="M10" s="102">
        <f t="shared" si="1"/>
        <v>4.9015741675766713E-16</v>
      </c>
      <c r="N10" s="102">
        <f t="shared" si="1"/>
        <v>2.4822260974250489E-13</v>
      </c>
      <c r="O10" s="102">
        <f t="shared" si="1"/>
        <v>6.9531362771437068E-11</v>
      </c>
      <c r="P10" s="102">
        <f t="shared" si="1"/>
        <v>1.0853447375236313E-8</v>
      </c>
      <c r="Q10" s="102">
        <f t="shared" si="1"/>
        <v>9.3077049849821702E-7</v>
      </c>
      <c r="R10" s="102">
        <f t="shared" si="1"/>
        <v>4.2428495521241763E-5</v>
      </c>
      <c r="S10" s="102">
        <f t="shared" si="1"/>
        <v>9.7725470277180873E-4</v>
      </c>
      <c r="T10" s="102">
        <f t="shared" si="1"/>
        <v>1.0625480664525878E-2</v>
      </c>
      <c r="U10" s="102">
        <f t="shared" si="1"/>
        <v>5.0051911899617746E-2</v>
      </c>
      <c r="V10" s="102">
        <f t="shared" si="1"/>
        <v>9.2009748284150039E-2</v>
      </c>
      <c r="W10" s="102">
        <f t="shared" si="1"/>
        <v>5.8266706554287007E-2</v>
      </c>
      <c r="X10" s="102">
        <f t="shared" ref="X10:AM25" si="2">COMBIN($B10,$C10)*X$6^$C10*(1-X$6)^($B10-$C10)</f>
        <v>1.0973166357046402E-2</v>
      </c>
      <c r="Y10" s="102">
        <f t="shared" si="2"/>
        <v>5.1738776147434572E-4</v>
      </c>
      <c r="Z10" s="102">
        <f t="shared" si="2"/>
        <v>4.9953768931422689E-6</v>
      </c>
      <c r="AA10" s="102">
        <f t="shared" si="2"/>
        <v>7.8069992629493212E-9</v>
      </c>
      <c r="AB10" s="102">
        <f t="shared" si="2"/>
        <v>1.4981164015688927E-12</v>
      </c>
      <c r="AC10" s="102">
        <f t="shared" si="2"/>
        <v>2.5433423458773207E-17</v>
      </c>
      <c r="AD10" s="102">
        <f t="shared" si="2"/>
        <v>2.5760451856615785E-23</v>
      </c>
      <c r="AE10" s="102">
        <f t="shared" si="2"/>
        <v>9.6081867453468358E-31</v>
      </c>
      <c r="AF10" s="102">
        <f t="shared" si="2"/>
        <v>7.1994474362372989E-40</v>
      </c>
      <c r="AG10" s="102">
        <f t="shared" si="2"/>
        <v>4.9326570287763806E-51</v>
      </c>
      <c r="AH10" s="102">
        <f t="shared" si="2"/>
        <v>1.0597731553124161E-64</v>
      </c>
      <c r="AI10" s="102">
        <f t="shared" si="2"/>
        <v>1.5148000856869479E-81</v>
      </c>
      <c r="AJ10" s="102">
        <f t="shared" si="2"/>
        <v>1.2237047895067049E-102</v>
      </c>
      <c r="AK10" s="102">
        <f t="shared" si="2"/>
        <v>5.8511466546337134E-130</v>
      </c>
      <c r="AL10" s="102">
        <f t="shared" si="2"/>
        <v>1.9813538983964996E-168</v>
      </c>
    </row>
    <row r="11" spans="1:39">
      <c r="A11">
        <v>1988</v>
      </c>
      <c r="B11">
        <v>752</v>
      </c>
      <c r="C11">
        <v>29</v>
      </c>
      <c r="E11" s="18">
        <f t="shared" ref="E11:E41" si="3">LN(SUMPRODUCT(G11:AL11,G$3:AL$3))</f>
        <v>-3.8356632642550919</v>
      </c>
      <c r="G11" s="102">
        <f t="shared" ref="G11:V26" si="4">COMBIN($B11,$C11)*G$6^$C11*(1-G$6)^($B11-$C11)</f>
        <v>1.6131787410816052E-65</v>
      </c>
      <c r="H11" s="102">
        <f t="shared" si="4"/>
        <v>2.423255675224572E-56</v>
      </c>
      <c r="I11" s="102">
        <f t="shared" si="4"/>
        <v>4.9289191786027564E-49</v>
      </c>
      <c r="J11" s="102">
        <f t="shared" si="4"/>
        <v>9.6192918884509389E-43</v>
      </c>
      <c r="K11" s="102">
        <f t="shared" si="4"/>
        <v>3.788470530682445E-37</v>
      </c>
      <c r="L11" s="102">
        <f t="shared" si="4"/>
        <v>4.3721279958305139E-32</v>
      </c>
      <c r="M11" s="102">
        <f t="shared" si="4"/>
        <v>1.8251577535588989E-27</v>
      </c>
      <c r="N11" s="102">
        <f t="shared" si="4"/>
        <v>3.1180614133866776E-23</v>
      </c>
      <c r="O11" s="102">
        <f t="shared" si="4"/>
        <v>2.3363119491274127E-19</v>
      </c>
      <c r="P11" s="102">
        <f t="shared" si="4"/>
        <v>7.9234118320429517E-16</v>
      </c>
      <c r="Q11" s="102">
        <f t="shared" si="4"/>
        <v>1.2191040652414131E-12</v>
      </c>
      <c r="R11" s="102">
        <f t="shared" si="4"/>
        <v>8.3231553089455718E-10</v>
      </c>
      <c r="S11" s="102">
        <f t="shared" si="4"/>
        <v>2.4122730671886592E-7</v>
      </c>
      <c r="T11" s="102">
        <f t="shared" si="4"/>
        <v>2.7801255825534202E-5</v>
      </c>
      <c r="U11" s="102">
        <f t="shared" si="4"/>
        <v>1.1685947999494311E-3</v>
      </c>
      <c r="V11" s="102">
        <f t="shared" si="4"/>
        <v>1.60781127492861E-2</v>
      </c>
      <c r="W11" s="102">
        <f t="shared" si="1"/>
        <v>6.3494508896671062E-2</v>
      </c>
      <c r="X11" s="102">
        <f t="shared" si="2"/>
        <v>6.1541125555046379E-2</v>
      </c>
      <c r="Y11" s="102">
        <f t="shared" si="2"/>
        <v>1.2169796143154716E-2</v>
      </c>
      <c r="Z11" s="102">
        <f t="shared" si="2"/>
        <v>3.9523370523768681E-4</v>
      </c>
      <c r="AA11" s="102">
        <f t="shared" si="2"/>
        <v>1.633887925337663E-6</v>
      </c>
      <c r="AB11" s="102">
        <f t="shared" si="2"/>
        <v>6.3669688557899124E-10</v>
      </c>
      <c r="AC11" s="102">
        <f t="shared" si="2"/>
        <v>1.636512590731241E-14</v>
      </c>
      <c r="AD11" s="102">
        <f t="shared" si="2"/>
        <v>1.80503138918123E-20</v>
      </c>
      <c r="AE11" s="102">
        <f t="shared" si="2"/>
        <v>5.0433641965227334E-28</v>
      </c>
      <c r="AF11" s="102">
        <f t="shared" si="2"/>
        <v>1.8403912272746093E-37</v>
      </c>
      <c r="AG11" s="102">
        <f t="shared" si="2"/>
        <v>3.7078965484106982E-49</v>
      </c>
      <c r="AH11" s="102">
        <f t="shared" si="2"/>
        <v>1.2789096133354761E-63</v>
      </c>
      <c r="AI11" s="102">
        <f t="shared" si="2"/>
        <v>1.3844081717988076E-81</v>
      </c>
      <c r="AJ11" s="102">
        <f t="shared" si="2"/>
        <v>3.1683177548107119E-104</v>
      </c>
      <c r="AK11" s="102">
        <f t="shared" si="2"/>
        <v>1.0472008292261762E-133</v>
      </c>
      <c r="AL11" s="102">
        <f t="shared" si="2"/>
        <v>2.0813040341741471E-175</v>
      </c>
    </row>
    <row r="12" spans="1:39">
      <c r="A12">
        <v>1989</v>
      </c>
      <c r="B12">
        <v>748</v>
      </c>
      <c r="C12">
        <v>35</v>
      </c>
      <c r="E12" s="18">
        <f t="shared" si="3"/>
        <v>-4.1552954349889832</v>
      </c>
      <c r="G12" s="102">
        <f t="shared" si="4"/>
        <v>9.9651202833933705E-82</v>
      </c>
      <c r="H12" s="102">
        <f t="shared" si="4"/>
        <v>1.2042985415780277E-70</v>
      </c>
      <c r="I12" s="102">
        <f t="shared" si="4"/>
        <v>8.1605906259058862E-62</v>
      </c>
      <c r="J12" s="102">
        <f t="shared" si="4"/>
        <v>3.3057196072747038E-54</v>
      </c>
      <c r="K12" s="102">
        <f t="shared" si="4"/>
        <v>1.9719013512322673E-47</v>
      </c>
      <c r="L12" s="102">
        <f t="shared" si="4"/>
        <v>2.7311340285095193E-41</v>
      </c>
      <c r="M12" s="102">
        <f t="shared" si="4"/>
        <v>1.1398362144498165E-35</v>
      </c>
      <c r="N12" s="102">
        <f t="shared" si="4"/>
        <v>1.6768826363423106E-30</v>
      </c>
      <c r="O12" s="102">
        <f t="shared" si="4"/>
        <v>9.5451941799134452E-26</v>
      </c>
      <c r="P12" s="102">
        <f t="shared" si="4"/>
        <v>2.2088433941607743E-21</v>
      </c>
      <c r="Q12" s="102">
        <f t="shared" si="4"/>
        <v>2.1123788315627637E-17</v>
      </c>
      <c r="R12" s="102">
        <f t="shared" si="4"/>
        <v>8.2593502977069743E-14</v>
      </c>
      <c r="S12" s="102">
        <f t="shared" si="4"/>
        <v>1.2753441554679582E-10</v>
      </c>
      <c r="T12" s="102">
        <f t="shared" si="4"/>
        <v>7.345568327289703E-8</v>
      </c>
      <c r="U12" s="102">
        <f t="shared" si="4"/>
        <v>1.4581498658134116E-5</v>
      </c>
      <c r="V12" s="102">
        <f t="shared" si="4"/>
        <v>9.0134331204076159E-4</v>
      </c>
      <c r="W12" s="102">
        <f t="shared" si="1"/>
        <v>1.5310481104482283E-2</v>
      </c>
      <c r="X12" s="102">
        <f t="shared" si="2"/>
        <v>6.1480032061393221E-2</v>
      </c>
      <c r="Y12" s="102">
        <f t="shared" si="2"/>
        <v>4.8808003153553318E-2</v>
      </c>
      <c r="Z12" s="102">
        <f t="shared" si="2"/>
        <v>6.2038551516004452E-3</v>
      </c>
      <c r="AA12" s="102">
        <f t="shared" si="2"/>
        <v>9.8476141533093605E-5</v>
      </c>
      <c r="AB12" s="102">
        <f t="shared" si="2"/>
        <v>1.4553452104819117E-7</v>
      </c>
      <c r="AC12" s="102">
        <f t="shared" si="2"/>
        <v>1.4115751362480516E-11</v>
      </c>
      <c r="AD12" s="102">
        <f t="shared" si="2"/>
        <v>5.8947473405755264E-17</v>
      </c>
      <c r="AE12" s="102">
        <f t="shared" si="2"/>
        <v>6.3177780465277885E-24</v>
      </c>
      <c r="AF12" s="102">
        <f t="shared" si="2"/>
        <v>9.0658424291911048E-33</v>
      </c>
      <c r="AG12" s="102">
        <f t="shared" si="2"/>
        <v>7.4743268878763894E-44</v>
      </c>
      <c r="AH12" s="102">
        <f t="shared" si="2"/>
        <v>1.1200920665384989E-57</v>
      </c>
      <c r="AI12" s="102">
        <f t="shared" si="2"/>
        <v>5.7581382019259423E-75</v>
      </c>
      <c r="AJ12" s="102">
        <f t="shared" si="2"/>
        <v>7.1657559740008838E-97</v>
      </c>
      <c r="AK12" s="102">
        <f t="shared" si="2"/>
        <v>1.608927318926038E-125</v>
      </c>
      <c r="AL12" s="102">
        <f t="shared" si="2"/>
        <v>3.3875214830362428E-166</v>
      </c>
    </row>
    <row r="13" spans="1:39">
      <c r="A13">
        <v>1990</v>
      </c>
      <c r="B13">
        <v>690</v>
      </c>
      <c r="C13">
        <v>56</v>
      </c>
      <c r="E13" s="18">
        <f t="shared" si="3"/>
        <v>-5.7496330602987467</v>
      </c>
      <c r="G13" s="102">
        <f t="shared" si="4"/>
        <v>1.5521698896733617E-143</v>
      </c>
      <c r="H13" s="102">
        <f t="shared" si="4"/>
        <v>8.7996697908261117E-126</v>
      </c>
      <c r="I13" s="102">
        <f t="shared" si="4"/>
        <v>1.281115568904092E-111</v>
      </c>
      <c r="J13" s="102">
        <f t="shared" si="4"/>
        <v>2.1354773686238761E-99</v>
      </c>
      <c r="K13" s="102">
        <f t="shared" si="4"/>
        <v>1.7474394796869459E-88</v>
      </c>
      <c r="L13" s="102">
        <f t="shared" si="4"/>
        <v>1.4789324146100719E-78</v>
      </c>
      <c r="M13" s="102">
        <f t="shared" si="4"/>
        <v>2.0052768910145035E-69</v>
      </c>
      <c r="N13" s="102">
        <f t="shared" si="4"/>
        <v>5.7407574345191282E-61</v>
      </c>
      <c r="O13" s="102">
        <f t="shared" si="4"/>
        <v>4.1519705511967505E-53</v>
      </c>
      <c r="P13" s="102">
        <f t="shared" si="4"/>
        <v>8.5150472476547254E-46</v>
      </c>
      <c r="Q13" s="102">
        <f t="shared" si="4"/>
        <v>5.3080330638624941E-39</v>
      </c>
      <c r="R13" s="102">
        <f t="shared" si="4"/>
        <v>1.040267456288938E-32</v>
      </c>
      <c r="S13" s="102">
        <f t="shared" si="4"/>
        <v>6.4356755554511956E-27</v>
      </c>
      <c r="T13" s="102">
        <f t="shared" si="4"/>
        <v>1.2294344805829467E-21</v>
      </c>
      <c r="U13" s="102">
        <f t="shared" si="4"/>
        <v>6.9241290110200177E-17</v>
      </c>
      <c r="V13" s="102">
        <f t="shared" si="4"/>
        <v>1.0720654059870635E-12</v>
      </c>
      <c r="W13" s="102">
        <f t="shared" si="1"/>
        <v>4.1550415204707471E-9</v>
      </c>
      <c r="X13" s="102">
        <f t="shared" si="2"/>
        <v>3.5801625980983656E-6</v>
      </c>
      <c r="Y13" s="102">
        <f t="shared" si="2"/>
        <v>5.9289800711779237E-4</v>
      </c>
      <c r="Z13" s="102">
        <f t="shared" si="2"/>
        <v>1.5832299760664366E-2</v>
      </c>
      <c r="AA13" s="102">
        <f t="shared" si="2"/>
        <v>5.5250814911121861E-2</v>
      </c>
      <c r="AB13" s="102">
        <f t="shared" si="2"/>
        <v>1.9602271070588574E-2</v>
      </c>
      <c r="AC13" s="102">
        <f t="shared" si="2"/>
        <v>5.2302815805216969E-4</v>
      </c>
      <c r="AD13" s="102">
        <f t="shared" si="2"/>
        <v>7.2815530715079394E-7</v>
      </c>
      <c r="AE13" s="102">
        <f t="shared" si="2"/>
        <v>3.3707157437652124E-11</v>
      </c>
      <c r="AF13" s="102">
        <f t="shared" si="2"/>
        <v>2.9388668743814844E-17</v>
      </c>
      <c r="AG13" s="102">
        <f t="shared" si="2"/>
        <v>2.3017240017750075E-25</v>
      </c>
      <c r="AH13" s="102">
        <f t="shared" si="2"/>
        <v>5.9089746354925464E-36</v>
      </c>
      <c r="AI13" s="102">
        <f t="shared" si="2"/>
        <v>1.1535409068606945E-49</v>
      </c>
      <c r="AJ13" s="102">
        <f t="shared" si="2"/>
        <v>1.6797052360958175E-67</v>
      </c>
      <c r="AK13" s="102">
        <f t="shared" si="2"/>
        <v>2.5112041747178713E-91</v>
      </c>
      <c r="AL13" s="102">
        <f t="shared" si="2"/>
        <v>9.3825233248049035E-126</v>
      </c>
    </row>
    <row r="14" spans="1:39">
      <c r="A14">
        <v>1991</v>
      </c>
      <c r="B14">
        <v>588</v>
      </c>
      <c r="C14">
        <v>65</v>
      </c>
      <c r="E14" s="18">
        <f t="shared" si="3"/>
        <v>-7.1333491003434144</v>
      </c>
      <c r="G14" s="102">
        <f t="shared" si="4"/>
        <v>1.8131367908145079E-175</v>
      </c>
      <c r="H14" s="102">
        <f t="shared" si="4"/>
        <v>7.4888136109569953E-155</v>
      </c>
      <c r="I14" s="102">
        <f t="shared" si="4"/>
        <v>2.1273604330593069E-138</v>
      </c>
      <c r="J14" s="102">
        <f t="shared" si="4"/>
        <v>3.427025320567849E-124</v>
      </c>
      <c r="K14" s="102">
        <f t="shared" si="4"/>
        <v>1.7056688697713902E-111</v>
      </c>
      <c r="L14" s="102">
        <f t="shared" si="4"/>
        <v>6.2727286167982181E-100</v>
      </c>
      <c r="M14" s="102">
        <f t="shared" si="4"/>
        <v>2.8571375471956822E-89</v>
      </c>
      <c r="N14" s="102">
        <f t="shared" si="4"/>
        <v>2.244158990709248E-79</v>
      </c>
      <c r="O14" s="102">
        <f t="shared" si="4"/>
        <v>3.7914599647145491E-70</v>
      </c>
      <c r="P14" s="102">
        <f t="shared" si="4"/>
        <v>1.5997184687175005E-61</v>
      </c>
      <c r="Q14" s="102">
        <f t="shared" si="4"/>
        <v>1.8606284203607326E-53</v>
      </c>
      <c r="R14" s="102">
        <f t="shared" si="4"/>
        <v>6.3379195513144924E-46</v>
      </c>
      <c r="S14" s="102">
        <f t="shared" si="4"/>
        <v>6.513722753813865E-39</v>
      </c>
      <c r="T14" s="102">
        <f t="shared" si="4"/>
        <v>2.0269016280314822E-32</v>
      </c>
      <c r="U14" s="102">
        <f t="shared" si="4"/>
        <v>1.8717186346935803E-26</v>
      </c>
      <c r="V14" s="102">
        <f t="shared" si="4"/>
        <v>4.9168970322225755E-21</v>
      </c>
      <c r="W14" s="102">
        <f t="shared" si="1"/>
        <v>3.4462378736435884E-16</v>
      </c>
      <c r="X14" s="102">
        <f t="shared" si="2"/>
        <v>5.9113352863864722E-12</v>
      </c>
      <c r="Y14" s="102">
        <f t="shared" si="2"/>
        <v>2.2230491253334424E-8</v>
      </c>
      <c r="Z14" s="102">
        <f t="shared" si="2"/>
        <v>1.6000903727504404E-5</v>
      </c>
      <c r="AA14" s="102">
        <f t="shared" si="2"/>
        <v>1.8687312547205023E-3</v>
      </c>
      <c r="AB14" s="102">
        <f t="shared" si="2"/>
        <v>2.9005226638351478E-2</v>
      </c>
      <c r="AC14" s="102">
        <f t="shared" si="2"/>
        <v>4.6993983173008722E-2</v>
      </c>
      <c r="AD14" s="102">
        <f t="shared" si="2"/>
        <v>5.9198821749918166E-3</v>
      </c>
      <c r="AE14" s="102">
        <f t="shared" si="2"/>
        <v>4.0269214224402144E-5</v>
      </c>
      <c r="AF14" s="102">
        <f t="shared" si="2"/>
        <v>9.3273330886480331E-9</v>
      </c>
      <c r="AG14" s="102">
        <f t="shared" si="2"/>
        <v>4.0301879997584544E-14</v>
      </c>
      <c r="AH14" s="102">
        <f t="shared" si="2"/>
        <v>1.4304938929233136E-21</v>
      </c>
      <c r="AI14" s="102">
        <f t="shared" si="2"/>
        <v>1.2703405768071251E-31</v>
      </c>
      <c r="AJ14" s="102">
        <f t="shared" si="2"/>
        <v>4.2703246821745683E-45</v>
      </c>
      <c r="AK14" s="102">
        <f t="shared" si="2"/>
        <v>1.6708312718125161E-63</v>
      </c>
      <c r="AL14" s="102">
        <f t="shared" si="2"/>
        <v>1.3795392597943304E-90</v>
      </c>
    </row>
    <row r="15" spans="1:39">
      <c r="A15">
        <v>1992</v>
      </c>
      <c r="B15">
        <v>525</v>
      </c>
      <c r="C15">
        <v>32</v>
      </c>
      <c r="E15" s="18">
        <f t="shared" si="3"/>
        <v>-4.4451748928347321</v>
      </c>
      <c r="G15" s="102">
        <f t="shared" si="4"/>
        <v>1.2428548585512573E-78</v>
      </c>
      <c r="H15" s="102">
        <f t="shared" si="4"/>
        <v>1.7125302829019786E-68</v>
      </c>
      <c r="I15" s="102">
        <f t="shared" si="4"/>
        <v>2.0806527330423282E-60</v>
      </c>
      <c r="J15" s="102">
        <f t="shared" si="4"/>
        <v>1.9466713130103161E-53</v>
      </c>
      <c r="K15" s="102">
        <f t="shared" si="4"/>
        <v>3.2113735019320221E-47</v>
      </c>
      <c r="L15" s="102">
        <f t="shared" si="4"/>
        <v>1.4238663969923103E-41</v>
      </c>
      <c r="M15" s="102">
        <f t="shared" si="4"/>
        <v>2.167319809529772E-36</v>
      </c>
      <c r="N15" s="102">
        <f t="shared" si="4"/>
        <v>1.3174956476888009E-31</v>
      </c>
      <c r="O15" s="102">
        <f t="shared" si="4"/>
        <v>3.5162033656706311E-27</v>
      </c>
      <c r="P15" s="102">
        <f t="shared" si="4"/>
        <v>4.359983047935256E-23</v>
      </c>
      <c r="Q15" s="102">
        <f t="shared" si="4"/>
        <v>2.5845249491159139E-19</v>
      </c>
      <c r="R15" s="102">
        <f t="shared" si="4"/>
        <v>7.3694000591938258E-16</v>
      </c>
      <c r="S15" s="102">
        <f t="shared" si="4"/>
        <v>9.9765427564168288E-13</v>
      </c>
      <c r="T15" s="102">
        <f t="shared" si="4"/>
        <v>6.2200223335318995E-10</v>
      </c>
      <c r="U15" s="102">
        <f t="shared" si="4"/>
        <v>1.7036944922555505E-7</v>
      </c>
      <c r="V15" s="102">
        <f t="shared" si="4"/>
        <v>1.9234385070547801E-5</v>
      </c>
      <c r="W15" s="102">
        <f t="shared" si="1"/>
        <v>8.2543702276962998E-4</v>
      </c>
      <c r="X15" s="102">
        <f t="shared" si="2"/>
        <v>1.2192178929840302E-2</v>
      </c>
      <c r="Y15" s="102">
        <f t="shared" si="2"/>
        <v>5.5006187813252221E-2</v>
      </c>
      <c r="Z15" s="102">
        <f t="shared" si="2"/>
        <v>6.576055381080205E-2</v>
      </c>
      <c r="AA15" s="102">
        <f t="shared" si="2"/>
        <v>1.7603538677775081E-2</v>
      </c>
      <c r="AB15" s="102">
        <f t="shared" si="2"/>
        <v>8.6396301530012264E-4</v>
      </c>
      <c r="AC15" s="102">
        <f t="shared" si="2"/>
        <v>6.1226050202529804E-6</v>
      </c>
      <c r="AD15" s="102">
        <f t="shared" si="2"/>
        <v>4.694564055776945E-9</v>
      </c>
      <c r="AE15" s="102">
        <f t="shared" si="2"/>
        <v>2.7315117805902031E-13</v>
      </c>
      <c r="AF15" s="102">
        <f t="shared" si="2"/>
        <v>7.7153359386935596E-19</v>
      </c>
      <c r="AG15" s="102">
        <f t="shared" si="2"/>
        <v>5.9158572185958894E-26</v>
      </c>
      <c r="AH15" s="102">
        <f t="shared" si="2"/>
        <v>5.5830739768733337E-35</v>
      </c>
      <c r="AI15" s="102">
        <f t="shared" si="2"/>
        <v>2.0613314656082578E-46</v>
      </c>
      <c r="AJ15" s="102">
        <f t="shared" si="2"/>
        <v>4.8145437114027111E-61</v>
      </c>
      <c r="AK15" s="102">
        <f t="shared" si="2"/>
        <v>2.4578637909905185E-80</v>
      </c>
      <c r="AL15" s="102">
        <f t="shared" si="2"/>
        <v>6.4726125508647416E-108</v>
      </c>
    </row>
    <row r="16" spans="1:39">
      <c r="A16">
        <v>1993</v>
      </c>
      <c r="B16">
        <v>560</v>
      </c>
      <c r="C16">
        <v>14</v>
      </c>
      <c r="E16" s="18">
        <f t="shared" si="3"/>
        <v>-3.2186009902347235</v>
      </c>
      <c r="G16" s="102">
        <f t="shared" si="4"/>
        <v>9.1924086712572678E-30</v>
      </c>
      <c r="H16" s="102">
        <f t="shared" si="4"/>
        <v>2.4268759174545048E-25</v>
      </c>
      <c r="I16" s="102">
        <f t="shared" si="4"/>
        <v>7.9466074826213489E-22</v>
      </c>
      <c r="J16" s="102">
        <f t="shared" si="4"/>
        <v>8.270924668450335E-19</v>
      </c>
      <c r="K16" s="102">
        <f t="shared" si="4"/>
        <v>3.8975653186539708E-16</v>
      </c>
      <c r="L16" s="102">
        <f t="shared" si="4"/>
        <v>9.8921761529102491E-14</v>
      </c>
      <c r="M16" s="102">
        <f t="shared" si="4"/>
        <v>1.4850542701338729E-11</v>
      </c>
      <c r="N16" s="102">
        <f t="shared" si="4"/>
        <v>1.3860670227885912E-9</v>
      </c>
      <c r="O16" s="102">
        <f t="shared" si="4"/>
        <v>8.2189755532644474E-8</v>
      </c>
      <c r="P16" s="102">
        <f t="shared" si="4"/>
        <v>3.0995933022271035E-6</v>
      </c>
      <c r="Q16" s="102">
        <f t="shared" si="4"/>
        <v>7.3188486188375791E-5</v>
      </c>
      <c r="R16" s="102">
        <f t="shared" si="4"/>
        <v>1.0495233113917641E-3</v>
      </c>
      <c r="S16" s="102">
        <f t="shared" si="4"/>
        <v>8.7421207357990128E-3</v>
      </c>
      <c r="T16" s="102">
        <f t="shared" si="4"/>
        <v>3.989479422980409E-2</v>
      </c>
      <c r="U16" s="102">
        <f t="shared" si="4"/>
        <v>9.2732798495943139E-2</v>
      </c>
      <c r="V16" s="102">
        <f t="shared" si="4"/>
        <v>0.10052568277632344</v>
      </c>
      <c r="W16" s="102">
        <f t="shared" si="1"/>
        <v>4.576791594060238E-2</v>
      </c>
      <c r="X16" s="102">
        <f t="shared" si="2"/>
        <v>7.7381412660631624E-3</v>
      </c>
      <c r="Y16" s="102">
        <f t="shared" si="2"/>
        <v>4.2078746517725061E-4</v>
      </c>
      <c r="Z16" s="102">
        <f t="shared" si="2"/>
        <v>6.223390411474632E-6</v>
      </c>
      <c r="AA16" s="102">
        <f t="shared" si="2"/>
        <v>2.0581211085777788E-8</v>
      </c>
      <c r="AB16" s="102">
        <f t="shared" si="2"/>
        <v>1.2091952233236989E-11</v>
      </c>
      <c r="AC16" s="102">
        <f t="shared" si="2"/>
        <v>9.6093315405587573E-16</v>
      </c>
      <c r="AD16" s="102">
        <f t="shared" si="2"/>
        <v>7.4437528439262493E-21</v>
      </c>
      <c r="AE16" s="102">
        <f t="shared" si="2"/>
        <v>3.7637351202775158E-27</v>
      </c>
      <c r="AF16" s="102">
        <f t="shared" si="2"/>
        <v>7.5073111634397141E-35</v>
      </c>
      <c r="AG16" s="102">
        <f t="shared" si="2"/>
        <v>3.0715798951326242E-44</v>
      </c>
      <c r="AH16" s="102">
        <f t="shared" si="2"/>
        <v>1.0595459164632086E-55</v>
      </c>
      <c r="AI16" s="102">
        <f t="shared" si="2"/>
        <v>8.4988776223554306E-70</v>
      </c>
      <c r="AJ16" s="102">
        <f t="shared" si="2"/>
        <v>2.0437558467552632E-87</v>
      </c>
      <c r="AK16" s="102">
        <f t="shared" si="2"/>
        <v>3.3359417189512411E-110</v>
      </c>
      <c r="AL16" s="102">
        <f t="shared" si="2"/>
        <v>3.0019718317568621E-142</v>
      </c>
    </row>
    <row r="17" spans="1:38">
      <c r="A17">
        <v>1994</v>
      </c>
      <c r="B17">
        <v>711</v>
      </c>
      <c r="C17">
        <v>15</v>
      </c>
      <c r="E17" s="18">
        <f t="shared" si="3"/>
        <v>-3.425767937504439</v>
      </c>
      <c r="G17" s="102">
        <f t="shared" si="4"/>
        <v>1.14070682585389E-30</v>
      </c>
      <c r="H17" s="102">
        <f t="shared" si="4"/>
        <v>6.1633981370976267E-26</v>
      </c>
      <c r="I17" s="102">
        <f t="shared" si="4"/>
        <v>3.5374393613902643E-22</v>
      </c>
      <c r="J17" s="102">
        <f t="shared" si="4"/>
        <v>5.8975664691185119E-19</v>
      </c>
      <c r="K17" s="102">
        <f t="shared" si="4"/>
        <v>4.1601271328678461E-16</v>
      </c>
      <c r="L17" s="102">
        <f t="shared" si="4"/>
        <v>1.490002449778094E-13</v>
      </c>
      <c r="M17" s="102">
        <f t="shared" si="4"/>
        <v>2.9823646836917651E-11</v>
      </c>
      <c r="N17" s="102">
        <f t="shared" si="4"/>
        <v>3.499661045188095E-9</v>
      </c>
      <c r="O17" s="102">
        <f t="shared" si="4"/>
        <v>2.4477483181597547E-7</v>
      </c>
      <c r="P17" s="102">
        <f t="shared" si="4"/>
        <v>1.0134877815011469E-5</v>
      </c>
      <c r="Q17" s="102">
        <f t="shared" si="4"/>
        <v>2.4198248866999983E-4</v>
      </c>
      <c r="R17" s="102">
        <f t="shared" si="4"/>
        <v>3.1888627237625124E-3</v>
      </c>
      <c r="S17" s="102">
        <f t="shared" si="4"/>
        <v>2.1826866383882437E-2</v>
      </c>
      <c r="T17" s="102">
        <f t="shared" si="4"/>
        <v>7.1786918554179069E-2</v>
      </c>
      <c r="U17" s="102">
        <f t="shared" si="4"/>
        <v>0.10309831207199868</v>
      </c>
      <c r="V17" s="102">
        <f t="shared" si="4"/>
        <v>5.7648616904699766E-2</v>
      </c>
      <c r="W17" s="102">
        <f t="shared" si="1"/>
        <v>1.0959915269250636E-2</v>
      </c>
      <c r="X17" s="102">
        <f t="shared" si="2"/>
        <v>6.0453148031916113E-4</v>
      </c>
      <c r="Y17" s="102">
        <f t="shared" si="2"/>
        <v>8.042009316557444E-6</v>
      </c>
      <c r="Z17" s="102">
        <f t="shared" si="2"/>
        <v>2.0808218651860863E-8</v>
      </c>
      <c r="AA17" s="102">
        <f t="shared" si="2"/>
        <v>8.1482772705210954E-12</v>
      </c>
      <c r="AB17" s="102">
        <f t="shared" si="2"/>
        <v>3.5976396675563852E-16</v>
      </c>
      <c r="AC17" s="102">
        <f t="shared" si="2"/>
        <v>1.2638022553891175E-21</v>
      </c>
      <c r="AD17" s="102">
        <f t="shared" si="2"/>
        <v>2.3239973506138296E-28</v>
      </c>
      <c r="AE17" s="102">
        <f t="shared" si="2"/>
        <v>1.3402736648642895E-36</v>
      </c>
      <c r="AF17" s="102">
        <f t="shared" si="2"/>
        <v>1.274308727112127E-46</v>
      </c>
      <c r="AG17" s="102">
        <f t="shared" si="2"/>
        <v>8.6662711774440652E-59</v>
      </c>
      <c r="AH17" s="102">
        <f t="shared" si="2"/>
        <v>1.3548784792822303E-73</v>
      </c>
      <c r="AI17" s="102">
        <f t="shared" si="2"/>
        <v>9.404272287581971E-92</v>
      </c>
      <c r="AJ17" s="102">
        <f t="shared" si="2"/>
        <v>2.1196825522599018E-114</v>
      </c>
      <c r="AK17" s="102">
        <f t="shared" si="2"/>
        <v>1.2307552911977163E-143</v>
      </c>
      <c r="AL17" s="102">
        <f t="shared" si="2"/>
        <v>1.0996551517669633E-184</v>
      </c>
    </row>
    <row r="18" spans="1:38">
      <c r="A18">
        <v>1995</v>
      </c>
      <c r="B18">
        <v>822</v>
      </c>
      <c r="C18">
        <v>29</v>
      </c>
      <c r="E18" s="18">
        <f t="shared" si="3"/>
        <v>-3.8095054637109587</v>
      </c>
      <c r="G18" s="102">
        <f t="shared" si="4"/>
        <v>2.2197352397878814E-64</v>
      </c>
      <c r="H18" s="102">
        <f t="shared" si="4"/>
        <v>3.3112324865310088E-55</v>
      </c>
      <c r="I18" s="102">
        <f t="shared" si="4"/>
        <v>6.6636051295473208E-48</v>
      </c>
      <c r="J18" s="102">
        <f t="shared" si="4"/>
        <v>1.2800215795925693E-41</v>
      </c>
      <c r="K18" s="102">
        <f t="shared" si="4"/>
        <v>4.9272532399757311E-36</v>
      </c>
      <c r="L18" s="102">
        <f t="shared" si="4"/>
        <v>5.5062262301112922E-31</v>
      </c>
      <c r="M18" s="102">
        <f t="shared" si="4"/>
        <v>2.1988911383734496E-26</v>
      </c>
      <c r="N18" s="102">
        <f t="shared" si="4"/>
        <v>3.5379098035060581E-22</v>
      </c>
      <c r="O18" s="102">
        <f t="shared" si="4"/>
        <v>2.4476391005714529E-18</v>
      </c>
      <c r="P18" s="102">
        <f t="shared" si="4"/>
        <v>7.4764806708175386E-15</v>
      </c>
      <c r="Q18" s="102">
        <f t="shared" si="4"/>
        <v>1.0046550864133763E-11</v>
      </c>
      <c r="R18" s="102">
        <f t="shared" si="4"/>
        <v>5.7679948017552921E-9</v>
      </c>
      <c r="S18" s="102">
        <f t="shared" si="4"/>
        <v>1.3425189159812866E-6</v>
      </c>
      <c r="T18" s="102">
        <f t="shared" si="4"/>
        <v>1.1753191521533934E-4</v>
      </c>
      <c r="U18" s="102">
        <f t="shared" si="4"/>
        <v>3.5106120727530256E-3</v>
      </c>
      <c r="V18" s="102">
        <f t="shared" si="4"/>
        <v>3.1700427710617297E-2</v>
      </c>
      <c r="W18" s="102">
        <f t="shared" si="1"/>
        <v>7.4779438005695267E-2</v>
      </c>
      <c r="X18" s="102">
        <f t="shared" si="2"/>
        <v>3.8743947591159567E-2</v>
      </c>
      <c r="Y18" s="102">
        <f t="shared" si="2"/>
        <v>3.5947293424463955E-3</v>
      </c>
      <c r="Z18" s="102">
        <f t="shared" si="2"/>
        <v>4.7013684948892925E-5</v>
      </c>
      <c r="AA18" s="102">
        <f t="shared" si="2"/>
        <v>6.5460423933696333E-8</v>
      </c>
      <c r="AB18" s="102">
        <f t="shared" si="2"/>
        <v>6.9719362059228734E-12</v>
      </c>
      <c r="AC18" s="102">
        <f t="shared" si="2"/>
        <v>3.8353447405374734E-17</v>
      </c>
      <c r="AD18" s="102">
        <f t="shared" si="2"/>
        <v>6.7936704760447006E-24</v>
      </c>
      <c r="AE18" s="102">
        <f t="shared" si="2"/>
        <v>2.1712937417789034E-32</v>
      </c>
      <c r="AF18" s="102">
        <f t="shared" si="2"/>
        <v>6.0474611384083977E-43</v>
      </c>
      <c r="AG18" s="102">
        <f t="shared" si="2"/>
        <v>5.7010488050778386E-56</v>
      </c>
      <c r="AH18" s="102">
        <f t="shared" si="2"/>
        <v>5.0274868498872975E-72</v>
      </c>
      <c r="AI18" s="102">
        <f t="shared" si="2"/>
        <v>6.4355030112856673E-92</v>
      </c>
      <c r="AJ18" s="102">
        <f t="shared" si="2"/>
        <v>6.1788131179511012E-117</v>
      </c>
      <c r="AK18" s="102">
        <f t="shared" si="2"/>
        <v>1.8607609166150459E-149</v>
      </c>
      <c r="AL18" s="102">
        <f t="shared" si="2"/>
        <v>2.1570907409952769E-195</v>
      </c>
    </row>
    <row r="19" spans="1:38">
      <c r="A19">
        <v>1996</v>
      </c>
      <c r="B19">
        <v>885</v>
      </c>
      <c r="C19">
        <v>16</v>
      </c>
      <c r="E19" s="18">
        <f t="shared" si="3"/>
        <v>-3.6700565564912049</v>
      </c>
      <c r="G19" s="102">
        <f t="shared" si="4"/>
        <v>1.5501573915964937E-31</v>
      </c>
      <c r="H19" s="102">
        <f t="shared" si="4"/>
        <v>1.7102315553312231E-26</v>
      </c>
      <c r="I19" s="102">
        <f t="shared" si="4"/>
        <v>1.7144943420451418E-22</v>
      </c>
      <c r="J19" s="102">
        <f t="shared" si="4"/>
        <v>4.5548046497868939E-19</v>
      </c>
      <c r="K19" s="102">
        <f t="shared" si="4"/>
        <v>4.7734696296215269E-16</v>
      </c>
      <c r="L19" s="102">
        <f t="shared" si="4"/>
        <v>2.3872787118233541E-13</v>
      </c>
      <c r="M19" s="102">
        <f t="shared" si="4"/>
        <v>6.2787413010786703E-11</v>
      </c>
      <c r="N19" s="102">
        <f t="shared" si="4"/>
        <v>9.0824862786520857E-9</v>
      </c>
      <c r="O19" s="102">
        <f t="shared" si="4"/>
        <v>7.2990999904144082E-7</v>
      </c>
      <c r="P19" s="102">
        <f t="shared" si="4"/>
        <v>3.2059613767445517E-5</v>
      </c>
      <c r="Q19" s="102">
        <f t="shared" si="4"/>
        <v>7.4033485194390468E-4</v>
      </c>
      <c r="R19" s="102">
        <f t="shared" si="4"/>
        <v>8.469565679081633E-3</v>
      </c>
      <c r="S19" s="102">
        <f t="shared" si="4"/>
        <v>4.4325481335832043E-2</v>
      </c>
      <c r="T19" s="102">
        <f t="shared" si="4"/>
        <v>9.5990799628182855E-2</v>
      </c>
      <c r="U19" s="102">
        <f t="shared" si="4"/>
        <v>7.6133184011346416E-2</v>
      </c>
      <c r="V19" s="102">
        <f t="shared" si="4"/>
        <v>1.9121103594019164E-2</v>
      </c>
      <c r="W19" s="102">
        <f t="shared" si="1"/>
        <v>1.2815525566118072E-3</v>
      </c>
      <c r="X19" s="102">
        <f t="shared" si="2"/>
        <v>1.8771994991455151E-5</v>
      </c>
      <c r="Y19" s="102">
        <f t="shared" si="2"/>
        <v>4.7641866780103171E-8</v>
      </c>
      <c r="Z19" s="102">
        <f t="shared" si="2"/>
        <v>1.5994671833411638E-11</v>
      </c>
      <c r="AA19" s="102">
        <f t="shared" si="2"/>
        <v>5.1868759855663845E-16</v>
      </c>
      <c r="AB19" s="102">
        <f t="shared" si="2"/>
        <v>1.1237974055149697E-21</v>
      </c>
      <c r="AC19" s="102">
        <f t="shared" si="2"/>
        <v>1.051535453822362E-28</v>
      </c>
      <c r="AD19" s="102">
        <f t="shared" si="2"/>
        <v>2.516895948924848E-37</v>
      </c>
      <c r="AE19" s="102">
        <f t="shared" si="2"/>
        <v>8.1201481825285163E-48</v>
      </c>
      <c r="AF19" s="102">
        <f t="shared" si="2"/>
        <v>1.5802888436620678E-60</v>
      </c>
      <c r="AG19" s="102">
        <f t="shared" si="2"/>
        <v>6.5317306358124953E-76</v>
      </c>
      <c r="AH19" s="102">
        <f t="shared" si="2"/>
        <v>1.3874485220302336E-94</v>
      </c>
      <c r="AI19" s="102">
        <f t="shared" si="2"/>
        <v>1.9391183297681544E-117</v>
      </c>
      <c r="AJ19" s="102">
        <f t="shared" si="2"/>
        <v>6.7816337272111938E-146</v>
      </c>
      <c r="AK19" s="102">
        <f t="shared" si="2"/>
        <v>1.4039541366210497E-182</v>
      </c>
      <c r="AL19" s="102">
        <f t="shared" si="2"/>
        <v>5.0596558247330313E-234</v>
      </c>
    </row>
    <row r="20" spans="1:38">
      <c r="A20">
        <v>1997</v>
      </c>
      <c r="B20">
        <v>997</v>
      </c>
      <c r="C20">
        <v>20</v>
      </c>
      <c r="E20" s="18">
        <f t="shared" si="3"/>
        <v>-3.7533426836463319</v>
      </c>
      <c r="G20" s="102">
        <f t="shared" si="4"/>
        <v>6.0642530457747488E-40</v>
      </c>
      <c r="H20" s="102">
        <f t="shared" si="4"/>
        <v>1.2326859593450764E-33</v>
      </c>
      <c r="I20" s="102">
        <f t="shared" si="4"/>
        <v>1.2572871463663422E-28</v>
      </c>
      <c r="J20" s="102">
        <f t="shared" si="4"/>
        <v>2.4580718395133186E-24</v>
      </c>
      <c r="K20" s="102">
        <f t="shared" si="4"/>
        <v>1.5189832920534123E-20</v>
      </c>
      <c r="L20" s="102">
        <f t="shared" si="4"/>
        <v>3.7775276524177286E-17</v>
      </c>
      <c r="M20" s="102">
        <f t="shared" si="4"/>
        <v>4.2877109735615671E-14</v>
      </c>
      <c r="N20" s="102">
        <f t="shared" si="4"/>
        <v>2.3620202834930964E-11</v>
      </c>
      <c r="O20" s="102">
        <f t="shared" si="4"/>
        <v>6.4370386213785002E-9</v>
      </c>
      <c r="P20" s="102">
        <f t="shared" si="4"/>
        <v>8.5694515266322859E-7</v>
      </c>
      <c r="Q20" s="102">
        <f t="shared" si="4"/>
        <v>5.3588809770311334E-5</v>
      </c>
      <c r="R20" s="102">
        <f t="shared" si="4"/>
        <v>1.4775507802198915E-3</v>
      </c>
      <c r="S20" s="102">
        <f t="shared" si="4"/>
        <v>1.6469476527953525E-2</v>
      </c>
      <c r="T20" s="102">
        <f t="shared" si="4"/>
        <v>6.6451263367575189E-2</v>
      </c>
      <c r="U20" s="102">
        <f t="shared" si="4"/>
        <v>8.4771684300901484E-2</v>
      </c>
      <c r="V20" s="102">
        <f t="shared" si="4"/>
        <v>2.9081160945105145E-2</v>
      </c>
      <c r="W20" s="102">
        <f t="shared" si="1"/>
        <v>2.2164298785397464E-3</v>
      </c>
      <c r="X20" s="102">
        <f t="shared" si="2"/>
        <v>3.0019098485541603E-5</v>
      </c>
      <c r="Y20" s="102">
        <f t="shared" si="2"/>
        <v>5.5709975614345899E-8</v>
      </c>
      <c r="Z20" s="102">
        <f t="shared" si="2"/>
        <v>1.0469307135275916E-11</v>
      </c>
      <c r="AA20" s="102">
        <f t="shared" si="2"/>
        <v>1.4002196374439206E-16</v>
      </c>
      <c r="AB20" s="102">
        <f t="shared" si="2"/>
        <v>8.8131306173184391E-23</v>
      </c>
      <c r="AC20" s="102">
        <f t="shared" si="2"/>
        <v>1.5995723473309958E-30</v>
      </c>
      <c r="AD20" s="102">
        <f t="shared" si="2"/>
        <v>4.6497202258335114E-40</v>
      </c>
      <c r="AE20" s="102">
        <f t="shared" si="2"/>
        <v>1.0541496466933872E-51</v>
      </c>
      <c r="AF20" s="102">
        <f t="shared" si="2"/>
        <v>7.5545588610006667E-66</v>
      </c>
      <c r="AG20" s="102">
        <f t="shared" si="2"/>
        <v>5.2974583599466588E-83</v>
      </c>
      <c r="AH20" s="102">
        <f t="shared" si="2"/>
        <v>7.3825047876016256E-104</v>
      </c>
      <c r="AI20" s="102">
        <f t="shared" si="2"/>
        <v>2.0311185903703475E-129</v>
      </c>
      <c r="AJ20" s="102">
        <f t="shared" si="2"/>
        <v>2.8028081872133237E-161</v>
      </c>
      <c r="AK20" s="102">
        <f t="shared" si="2"/>
        <v>2.1768919897336401E-202</v>
      </c>
      <c r="AL20" s="102">
        <f t="shared" si="2"/>
        <v>4.3859184623169371E-260</v>
      </c>
    </row>
    <row r="21" spans="1:38">
      <c r="A21">
        <v>1998</v>
      </c>
      <c r="B21">
        <v>1309</v>
      </c>
      <c r="C21">
        <v>48</v>
      </c>
      <c r="E21" s="18">
        <f t="shared" si="3"/>
        <v>-4.3059655493702342</v>
      </c>
      <c r="G21" s="102">
        <f t="shared" si="4"/>
        <v>2.830046914255736E-106</v>
      </c>
      <c r="H21" s="102">
        <f t="shared" si="4"/>
        <v>4.3457019188931712E-91</v>
      </c>
      <c r="I21" s="102">
        <f t="shared" si="4"/>
        <v>5.3751055696497157E-79</v>
      </c>
      <c r="J21" s="102">
        <f t="shared" si="4"/>
        <v>1.3669273809585229E-68</v>
      </c>
      <c r="K21" s="102">
        <f t="shared" si="4"/>
        <v>2.4425319665415208E-59</v>
      </c>
      <c r="L21" s="102">
        <f t="shared" si="4"/>
        <v>5.673596874611507E-51</v>
      </c>
      <c r="M21" s="102">
        <f t="shared" si="4"/>
        <v>2.4214083864053353E-43</v>
      </c>
      <c r="N21" s="102">
        <f t="shared" si="4"/>
        <v>2.3216682692363098E-36</v>
      </c>
      <c r="O21" s="102">
        <f t="shared" si="4"/>
        <v>5.5869925086186242E-30</v>
      </c>
      <c r="P21" s="102">
        <f t="shared" si="4"/>
        <v>3.5385809749034789E-24</v>
      </c>
      <c r="Q21" s="102">
        <f t="shared" si="4"/>
        <v>5.8890825154598828E-19</v>
      </c>
      <c r="R21" s="102">
        <f t="shared" si="4"/>
        <v>2.4665596215823835E-14</v>
      </c>
      <c r="S21" s="102">
        <f t="shared" si="4"/>
        <v>2.3980254855129136E-10</v>
      </c>
      <c r="T21" s="102">
        <f t="shared" si="4"/>
        <v>4.8141834608596359E-7</v>
      </c>
      <c r="U21" s="102">
        <f t="shared" si="4"/>
        <v>1.7121709580101996E-4</v>
      </c>
      <c r="V21" s="102">
        <f t="shared" si="4"/>
        <v>8.9136411173888937E-3</v>
      </c>
      <c r="W21" s="102">
        <f t="shared" si="1"/>
        <v>5.3922823667409983E-2</v>
      </c>
      <c r="X21" s="102">
        <f t="shared" si="2"/>
        <v>2.8801301869228937E-2</v>
      </c>
      <c r="Y21" s="102">
        <f t="shared" si="2"/>
        <v>9.8270614855456391E-4</v>
      </c>
      <c r="Z21" s="102">
        <f t="shared" si="2"/>
        <v>1.4652470851437876E-6</v>
      </c>
      <c r="AA21" s="102">
        <f t="shared" si="2"/>
        <v>6.1149099408593444E-11</v>
      </c>
      <c r="AB21" s="102">
        <f t="shared" si="2"/>
        <v>4.2255241105552267E-17</v>
      </c>
      <c r="AC21" s="102">
        <f t="shared" si="2"/>
        <v>2.5912053244553754E-25</v>
      </c>
      <c r="AD21" s="102">
        <f t="shared" si="2"/>
        <v>6.6560045354180691E-36</v>
      </c>
      <c r="AE21" s="102">
        <f t="shared" si="2"/>
        <v>2.8532864501464476E-49</v>
      </c>
      <c r="AF21" s="102">
        <f t="shared" si="2"/>
        <v>6.4213286864133456E-66</v>
      </c>
      <c r="AG21" s="102">
        <f t="shared" si="2"/>
        <v>1.6878839830670793E-86</v>
      </c>
      <c r="AH21" s="102">
        <f t="shared" si="2"/>
        <v>6.712302217981553E-112</v>
      </c>
      <c r="AI21" s="102">
        <f t="shared" si="2"/>
        <v>2.0902450668276903E-143</v>
      </c>
      <c r="AJ21" s="102">
        <f t="shared" si="2"/>
        <v>4.5957367988156415E-183</v>
      </c>
      <c r="AK21" s="102">
        <f t="shared" si="2"/>
        <v>1.1837553942207621E-234</v>
      </c>
      <c r="AL21" s="102">
        <f t="shared" si="2"/>
        <v>0</v>
      </c>
    </row>
    <row r="22" spans="1:38">
      <c r="A22">
        <v>1999</v>
      </c>
      <c r="B22">
        <v>1654</v>
      </c>
      <c r="C22">
        <v>92</v>
      </c>
      <c r="E22" s="18">
        <f t="shared" si="3"/>
        <v>-5.3359558312844344</v>
      </c>
      <c r="G22" s="102">
        <f t="shared" si="4"/>
        <v>0</v>
      </c>
      <c r="H22" s="102">
        <f t="shared" si="4"/>
        <v>0</v>
      </c>
      <c r="I22" s="102">
        <f t="shared" si="4"/>
        <v>0</v>
      </c>
      <c r="J22" s="102">
        <f t="shared" si="4"/>
        <v>1.2407287407974529E-146</v>
      </c>
      <c r="K22" s="102">
        <f t="shared" si="4"/>
        <v>8.875113238136621E-129</v>
      </c>
      <c r="L22" s="102">
        <f t="shared" si="4"/>
        <v>1.4248810991060217E-112</v>
      </c>
      <c r="M22" s="102">
        <f t="shared" si="4"/>
        <v>1.0316801299248646E-97</v>
      </c>
      <c r="N22" s="102">
        <f t="shared" si="4"/>
        <v>5.1670458883053589E-84</v>
      </c>
      <c r="O22" s="102">
        <f t="shared" si="4"/>
        <v>2.3299464925529015E-71</v>
      </c>
      <c r="P22" s="102">
        <f t="shared" si="4"/>
        <v>1.101633614740594E-59</v>
      </c>
      <c r="Q22" s="102">
        <f t="shared" si="4"/>
        <v>5.8561182589784272E-49</v>
      </c>
      <c r="R22" s="102">
        <f t="shared" si="4"/>
        <v>3.5110156333034612E-39</v>
      </c>
      <c r="S22" s="102">
        <f t="shared" si="4"/>
        <v>2.248300761110824E-30</v>
      </c>
      <c r="T22" s="102">
        <f t="shared" si="4"/>
        <v>1.3811611724948642E-22</v>
      </c>
      <c r="U22" s="102">
        <f t="shared" si="4"/>
        <v>6.9469715218045133E-16</v>
      </c>
      <c r="V22" s="102">
        <f t="shared" si="4"/>
        <v>2.319573015920193E-10</v>
      </c>
      <c r="W22" s="102">
        <f t="shared" si="1"/>
        <v>3.9518047534792459E-6</v>
      </c>
      <c r="X22" s="102">
        <f t="shared" si="2"/>
        <v>2.4935945311539897E-3</v>
      </c>
      <c r="Y22" s="102">
        <f t="shared" si="2"/>
        <v>3.9719099774994153E-2</v>
      </c>
      <c r="Z22" s="102">
        <f t="shared" si="2"/>
        <v>1.0135442344960766E-2</v>
      </c>
      <c r="AA22" s="102">
        <f t="shared" si="2"/>
        <v>2.420126902027802E-5</v>
      </c>
      <c r="AB22" s="102">
        <f t="shared" si="2"/>
        <v>2.8593651038701197E-10</v>
      </c>
      <c r="AC22" s="102">
        <f t="shared" si="2"/>
        <v>7.815906034915836E-18</v>
      </c>
      <c r="AD22" s="102">
        <f t="shared" si="2"/>
        <v>1.9740816461616552E-28</v>
      </c>
      <c r="AE22" s="102">
        <f t="shared" si="2"/>
        <v>1.4918678187207398E-42</v>
      </c>
      <c r="AF22" s="102">
        <f t="shared" si="2"/>
        <v>8.1605999378510374E-61</v>
      </c>
      <c r="AG22" s="102">
        <f t="shared" si="2"/>
        <v>5.1002568511395368E-84</v>
      </c>
      <c r="AH22" s="102">
        <f t="shared" si="2"/>
        <v>2.9543603601389922E-113</v>
      </c>
      <c r="AI22" s="102">
        <f t="shared" si="2"/>
        <v>4.1654280649668865E-150</v>
      </c>
      <c r="AJ22" s="102">
        <f t="shared" si="2"/>
        <v>0</v>
      </c>
      <c r="AK22" s="102">
        <f t="shared" si="2"/>
        <v>0</v>
      </c>
      <c r="AL22" s="102">
        <f t="shared" si="2"/>
        <v>0</v>
      </c>
    </row>
    <row r="23" spans="1:38">
      <c r="A23">
        <v>2000</v>
      </c>
      <c r="B23">
        <v>1750</v>
      </c>
      <c r="C23">
        <v>109</v>
      </c>
      <c r="E23" s="18">
        <f t="shared" si="3"/>
        <v>-5.7594199608244763</v>
      </c>
      <c r="G23" s="102">
        <f t="shared" si="4"/>
        <v>0</v>
      </c>
      <c r="H23" s="102">
        <f t="shared" si="4"/>
        <v>0</v>
      </c>
      <c r="I23" s="102">
        <f t="shared" si="4"/>
        <v>0</v>
      </c>
      <c r="J23" s="102">
        <f t="shared" si="4"/>
        <v>0</v>
      </c>
      <c r="K23" s="102">
        <f t="shared" si="4"/>
        <v>0</v>
      </c>
      <c r="L23" s="102">
        <f t="shared" si="4"/>
        <v>0</v>
      </c>
      <c r="M23" s="102">
        <f t="shared" si="4"/>
        <v>9.3562129911824621E-121</v>
      </c>
      <c r="N23" s="102">
        <f t="shared" si="4"/>
        <v>1.906555062326325E-104</v>
      </c>
      <c r="O23" s="102">
        <f t="shared" si="4"/>
        <v>2.3788385547543191E-89</v>
      </c>
      <c r="P23" s="102">
        <f t="shared" si="4"/>
        <v>2.2099932477823686E-75</v>
      </c>
      <c r="Q23" s="102">
        <f t="shared" si="4"/>
        <v>1.6903582294228047E-62</v>
      </c>
      <c r="R23" s="102">
        <f t="shared" si="4"/>
        <v>1.0911742699364557E-50</v>
      </c>
      <c r="S23" s="102">
        <f t="shared" si="4"/>
        <v>5.7123556520264375E-40</v>
      </c>
      <c r="T23" s="102">
        <f t="shared" si="4"/>
        <v>2.1975636299577738E-30</v>
      </c>
      <c r="U23" s="102">
        <f t="shared" si="4"/>
        <v>5.3230054161635631E-22</v>
      </c>
      <c r="V23" s="102">
        <f t="shared" si="4"/>
        <v>6.5786673891333501E-15</v>
      </c>
      <c r="W23" s="102">
        <f t="shared" si="1"/>
        <v>3.1738234961848168E-9</v>
      </c>
      <c r="X23" s="102">
        <f t="shared" si="2"/>
        <v>4.3012705661907699E-5</v>
      </c>
      <c r="Y23" s="102">
        <f t="shared" si="2"/>
        <v>1.1019009858262884E-2</v>
      </c>
      <c r="Z23" s="102">
        <f t="shared" si="2"/>
        <v>3.3291479429356882E-2</v>
      </c>
      <c r="AA23" s="102">
        <f t="shared" si="2"/>
        <v>6.7791278210381316E-4</v>
      </c>
      <c r="AB23" s="102">
        <f t="shared" si="2"/>
        <v>4.7875112682037989E-8</v>
      </c>
      <c r="AC23" s="102">
        <f t="shared" si="2"/>
        <v>5.3006248951845379E-15</v>
      </c>
      <c r="AD23" s="102">
        <f t="shared" si="2"/>
        <v>3.5242015278635214E-25</v>
      </c>
      <c r="AE23" s="102">
        <f t="shared" si="2"/>
        <v>4.3240088538594448E-39</v>
      </c>
      <c r="AF23" s="102">
        <f t="shared" si="2"/>
        <v>2.2155612899039766E-57</v>
      </c>
      <c r="AG23" s="102">
        <f t="shared" si="2"/>
        <v>6.8567848128221451E-81</v>
      </c>
      <c r="AH23" s="102">
        <f t="shared" si="2"/>
        <v>9.226151650001599E-111</v>
      </c>
      <c r="AI23" s="102">
        <f t="shared" si="2"/>
        <v>1.1918805126566059E-148</v>
      </c>
      <c r="AJ23" s="102">
        <f t="shared" si="2"/>
        <v>0</v>
      </c>
      <c r="AK23" s="102">
        <f t="shared" si="2"/>
        <v>0</v>
      </c>
      <c r="AL23" s="102">
        <f t="shared" si="2"/>
        <v>0</v>
      </c>
    </row>
    <row r="24" spans="1:38">
      <c r="A24">
        <v>2001</v>
      </c>
      <c r="B24">
        <v>1752</v>
      </c>
      <c r="C24">
        <v>173</v>
      </c>
      <c r="E24" s="18">
        <f t="shared" si="3"/>
        <v>-7.5839733867071102</v>
      </c>
      <c r="G24" s="102">
        <f t="shared" si="4"/>
        <v>0</v>
      </c>
      <c r="H24" s="102">
        <f t="shared" si="4"/>
        <v>0</v>
      </c>
      <c r="I24" s="102">
        <f t="shared" si="4"/>
        <v>0</v>
      </c>
      <c r="J24" s="102">
        <f t="shared" si="4"/>
        <v>0</v>
      </c>
      <c r="K24" s="102">
        <f t="shared" si="4"/>
        <v>0</v>
      </c>
      <c r="L24" s="102">
        <f t="shared" si="4"/>
        <v>0</v>
      </c>
      <c r="M24" s="102">
        <f t="shared" si="4"/>
        <v>0</v>
      </c>
      <c r="N24" s="102">
        <f t="shared" si="4"/>
        <v>0</v>
      </c>
      <c r="O24" s="102">
        <f t="shared" si="4"/>
        <v>0</v>
      </c>
      <c r="P24" s="102">
        <f t="shared" si="4"/>
        <v>0</v>
      </c>
      <c r="Q24" s="102">
        <f t="shared" si="4"/>
        <v>0</v>
      </c>
      <c r="R24" s="102">
        <f t="shared" si="4"/>
        <v>0</v>
      </c>
      <c r="S24" s="102">
        <f t="shared" si="4"/>
        <v>0</v>
      </c>
      <c r="T24" s="102">
        <f t="shared" si="4"/>
        <v>1.3849808984488179E-75</v>
      </c>
      <c r="U24" s="102">
        <f t="shared" si="4"/>
        <v>4.1899338494327817E-60</v>
      </c>
      <c r="V24" s="102">
        <f t="shared" si="4"/>
        <v>3.6113416323501557E-46</v>
      </c>
      <c r="W24" s="102">
        <f t="shared" si="1"/>
        <v>7.1893762892659503E-34</v>
      </c>
      <c r="X24" s="102">
        <f t="shared" si="2"/>
        <v>2.5109742075702961E-23</v>
      </c>
      <c r="Y24" s="102">
        <f t="shared" si="2"/>
        <v>1.0901630220357601E-14</v>
      </c>
      <c r="Z24" s="102">
        <f t="shared" si="2"/>
        <v>3.860933681922966E-8</v>
      </c>
      <c r="AA24" s="102">
        <f t="shared" si="2"/>
        <v>6.7066459736484895E-4</v>
      </c>
      <c r="AB24" s="102">
        <f t="shared" si="2"/>
        <v>3.0986638844211479E-2</v>
      </c>
      <c r="AC24" s="102">
        <f t="shared" si="2"/>
        <v>1.8204496780819947E-3</v>
      </c>
      <c r="AD24" s="102">
        <f t="shared" si="2"/>
        <v>5.5400941612515648E-8</v>
      </c>
      <c r="AE24" s="102">
        <f t="shared" si="2"/>
        <v>2.8798984609458222E-16</v>
      </c>
      <c r="AF24" s="102">
        <f t="shared" si="2"/>
        <v>6.2948269615849697E-29</v>
      </c>
      <c r="AG24" s="102">
        <f t="shared" si="2"/>
        <v>9.3001006655015708E-47</v>
      </c>
      <c r="AH24" s="102">
        <f t="shared" si="2"/>
        <v>7.6974212261143423E-71</v>
      </c>
      <c r="AI24" s="102">
        <f t="shared" si="2"/>
        <v>9.6590596879049687E-103</v>
      </c>
      <c r="AJ24" s="102">
        <f t="shared" si="2"/>
        <v>0</v>
      </c>
      <c r="AK24" s="102">
        <f t="shared" si="2"/>
        <v>0</v>
      </c>
      <c r="AL24" s="102">
        <f t="shared" si="2"/>
        <v>0</v>
      </c>
    </row>
    <row r="25" spans="1:38">
      <c r="A25">
        <v>2002</v>
      </c>
      <c r="B25">
        <v>1675</v>
      </c>
      <c r="C25">
        <v>159</v>
      </c>
      <c r="E25" s="18">
        <f t="shared" si="3"/>
        <v>-7.4236967422506508</v>
      </c>
      <c r="G25" s="102">
        <f t="shared" si="4"/>
        <v>0</v>
      </c>
      <c r="H25" s="102">
        <f t="shared" si="4"/>
        <v>0</v>
      </c>
      <c r="I25" s="102">
        <f t="shared" si="4"/>
        <v>0</v>
      </c>
      <c r="J25" s="102">
        <f t="shared" si="4"/>
        <v>0</v>
      </c>
      <c r="K25" s="102">
        <f t="shared" si="4"/>
        <v>0</v>
      </c>
      <c r="L25" s="102">
        <f t="shared" si="4"/>
        <v>0</v>
      </c>
      <c r="M25" s="102">
        <f t="shared" si="4"/>
        <v>0</v>
      </c>
      <c r="N25" s="102">
        <f t="shared" si="4"/>
        <v>0</v>
      </c>
      <c r="O25" s="102">
        <f t="shared" si="4"/>
        <v>0</v>
      </c>
      <c r="P25" s="102">
        <f t="shared" si="4"/>
        <v>0</v>
      </c>
      <c r="Q25" s="102">
        <f t="shared" si="4"/>
        <v>0</v>
      </c>
      <c r="R25" s="102">
        <f t="shared" si="4"/>
        <v>0</v>
      </c>
      <c r="S25" s="102">
        <f t="shared" si="4"/>
        <v>1.0098391687104698E-82</v>
      </c>
      <c r="T25" s="102">
        <f t="shared" si="4"/>
        <v>3.0440506885308227E-67</v>
      </c>
      <c r="U25" s="102">
        <f t="shared" si="4"/>
        <v>3.7508338880015235E-53</v>
      </c>
      <c r="V25" s="102">
        <f t="shared" si="4"/>
        <v>1.6315957824770921E-40</v>
      </c>
      <c r="W25" s="102">
        <f t="shared" si="1"/>
        <v>2.0381744199427418E-29</v>
      </c>
      <c r="X25" s="102">
        <f t="shared" si="2"/>
        <v>5.5906777712666922E-20</v>
      </c>
      <c r="Y25" s="102">
        <f t="shared" si="2"/>
        <v>2.4097072723726557E-12</v>
      </c>
      <c r="Z25" s="102">
        <f t="shared" si="2"/>
        <v>1.085460859499187E-6</v>
      </c>
      <c r="AA25" s="102">
        <f t="shared" si="2"/>
        <v>3.1257074203715303E-3</v>
      </c>
      <c r="AB25" s="102">
        <f t="shared" si="2"/>
        <v>3.1884117831262743E-2</v>
      </c>
      <c r="AC25" s="102">
        <f t="shared" si="2"/>
        <v>5.656998418205561E-4</v>
      </c>
      <c r="AD25" s="102">
        <f t="shared" si="2"/>
        <v>7.3518211943350696E-9</v>
      </c>
      <c r="AE25" s="102">
        <f t="shared" si="2"/>
        <v>2.405690308894248E-17</v>
      </c>
      <c r="AF25" s="102">
        <f t="shared" si="2"/>
        <v>5.144785600389492E-30</v>
      </c>
      <c r="AG25" s="102">
        <f t="shared" si="2"/>
        <v>1.2391584474069788E-47</v>
      </c>
      <c r="AH25" s="102">
        <f t="shared" si="2"/>
        <v>3.0636960316193766E-71</v>
      </c>
      <c r="AI25" s="102">
        <f t="shared" si="2"/>
        <v>2.4152579358114114E-102</v>
      </c>
      <c r="AJ25" s="102">
        <f t="shared" si="2"/>
        <v>2.4414138326781301E-143</v>
      </c>
      <c r="AK25" s="102">
        <f t="shared" si="2"/>
        <v>0</v>
      </c>
      <c r="AL25" s="102">
        <f t="shared" si="2"/>
        <v>0</v>
      </c>
    </row>
    <row r="26" spans="1:38">
      <c r="A26">
        <v>2003</v>
      </c>
      <c r="B26">
        <v>1757</v>
      </c>
      <c r="C26">
        <v>89</v>
      </c>
      <c r="E26" s="18">
        <f t="shared" si="3"/>
        <v>-5.1830338995857685</v>
      </c>
      <c r="G26" s="102">
        <f t="shared" si="4"/>
        <v>0</v>
      </c>
      <c r="H26" s="102">
        <f t="shared" si="4"/>
        <v>0</v>
      </c>
      <c r="I26" s="102">
        <f t="shared" si="4"/>
        <v>0</v>
      </c>
      <c r="J26" s="102">
        <f t="shared" si="4"/>
        <v>3.0901675567235009E-138</v>
      </c>
      <c r="K26" s="102">
        <f t="shared" si="4"/>
        <v>5.4953795647594571E-121</v>
      </c>
      <c r="L26" s="102">
        <f t="shared" si="4"/>
        <v>2.431180167222789E-105</v>
      </c>
      <c r="M26" s="102">
        <f t="shared" si="4"/>
        <v>5.2221734470804182E-91</v>
      </c>
      <c r="N26" s="102">
        <f t="shared" si="4"/>
        <v>8.1740406067281744E-78</v>
      </c>
      <c r="O26" s="102">
        <f t="shared" si="4"/>
        <v>1.1918837209175307E-65</v>
      </c>
      <c r="P26" s="102">
        <f t="shared" si="4"/>
        <v>1.8551305600917274E-54</v>
      </c>
      <c r="Q26" s="102">
        <f t="shared" si="4"/>
        <v>3.253533694293085E-44</v>
      </c>
      <c r="R26" s="102">
        <f t="shared" si="4"/>
        <v>6.3482668721836789E-35</v>
      </c>
      <c r="S26" s="102">
        <f t="shared" si="4"/>
        <v>1.2834630718010282E-26</v>
      </c>
      <c r="T26" s="102">
        <f t="shared" si="4"/>
        <v>2.3719879778409879E-19</v>
      </c>
      <c r="U26" s="102">
        <f t="shared" si="4"/>
        <v>3.3534721070385393E-13</v>
      </c>
      <c r="V26" s="102">
        <f t="shared" ref="V26:AK41" si="5">COMBIN($B26,$C26)*V$6^$C26*(1-V$6)^($B26-$C26)</f>
        <v>2.8771750049582411E-8</v>
      </c>
      <c r="W26" s="102">
        <f t="shared" si="5"/>
        <v>1.1237419252808829E-4</v>
      </c>
      <c r="X26" s="102">
        <f t="shared" si="5"/>
        <v>1.411142428494723E-2</v>
      </c>
      <c r="Y26" s="102">
        <f t="shared" si="5"/>
        <v>3.7646263075520228E-2</v>
      </c>
      <c r="Z26" s="102">
        <f t="shared" si="5"/>
        <v>1.307129149414012E-3</v>
      </c>
      <c r="AA26" s="102">
        <f t="shared" si="5"/>
        <v>3.3132120871419628E-7</v>
      </c>
      <c r="AB26" s="102">
        <f t="shared" si="5"/>
        <v>3.0931804560464003E-13</v>
      </c>
      <c r="AC26" s="102">
        <f t="shared" si="5"/>
        <v>4.7064672490921961E-22</v>
      </c>
      <c r="AD26" s="102">
        <f t="shared" si="5"/>
        <v>4.3648720167232029E-34</v>
      </c>
      <c r="AE26" s="102">
        <f t="shared" si="5"/>
        <v>7.3752999520522368E-50</v>
      </c>
      <c r="AF26" s="102">
        <f t="shared" si="5"/>
        <v>4.9692311156178378E-70</v>
      </c>
      <c r="AG26" s="102">
        <f t="shared" si="5"/>
        <v>1.85107010253928E-95</v>
      </c>
      <c r="AH26" s="102">
        <f t="shared" si="5"/>
        <v>2.5931341928913411E-127</v>
      </c>
      <c r="AI26" s="102">
        <f t="shared" si="5"/>
        <v>2.7800673093389461E-167</v>
      </c>
      <c r="AJ26" s="102">
        <f t="shared" si="5"/>
        <v>0</v>
      </c>
      <c r="AK26" s="102">
        <f t="shared" si="5"/>
        <v>0</v>
      </c>
      <c r="AL26" s="102">
        <f t="shared" ref="AL26:BA41" si="6">COMBIN($B26,$C26)*AL$6^$C26*(1-AL$6)^($B26-$C26)</f>
        <v>0</v>
      </c>
    </row>
    <row r="27" spans="1:38">
      <c r="A27">
        <v>2004</v>
      </c>
      <c r="B27">
        <v>1877</v>
      </c>
      <c r="C27">
        <v>38</v>
      </c>
      <c r="E27" s="18">
        <f t="shared" si="3"/>
        <v>-4.3620342490865376</v>
      </c>
      <c r="G27" s="102">
        <f t="shared" ref="G27:V41" si="7">COMBIN($B27,$C27)*G$6^$C27*(1-G$6)^($B27-$C27)</f>
        <v>1.3767319515575944E-74</v>
      </c>
      <c r="H27" s="102">
        <f t="shared" si="7"/>
        <v>1.3333389235303601E-62</v>
      </c>
      <c r="I27" s="102">
        <f t="shared" si="7"/>
        <v>4.3892608411913277E-53</v>
      </c>
      <c r="J27" s="102">
        <f t="shared" si="7"/>
        <v>6.2704216819581762E-45</v>
      </c>
      <c r="K27" s="102">
        <f t="shared" si="7"/>
        <v>1.0059413953398006E-37</v>
      </c>
      <c r="L27" s="102">
        <f t="shared" si="7"/>
        <v>2.8692707405078256E-31</v>
      </c>
      <c r="M27" s="102">
        <f t="shared" si="7"/>
        <v>1.8495449420408216E-25</v>
      </c>
      <c r="N27" s="102">
        <f t="shared" si="7"/>
        <v>3.0304785933148527E-20</v>
      </c>
      <c r="O27" s="102">
        <f t="shared" si="7"/>
        <v>1.3102022873267315E-15</v>
      </c>
      <c r="P27" s="102">
        <f t="shared" si="7"/>
        <v>1.4610785761712278E-11</v>
      </c>
      <c r="Q27" s="102">
        <f t="shared" si="7"/>
        <v>3.9069495479621553E-8</v>
      </c>
      <c r="R27" s="102">
        <f t="shared" si="7"/>
        <v>2.2249612318199044E-5</v>
      </c>
      <c r="S27" s="102">
        <f t="shared" si="7"/>
        <v>2.2930951545564798E-3</v>
      </c>
      <c r="T27" s="102">
        <f t="shared" si="7"/>
        <v>3.4753304979430723E-2</v>
      </c>
      <c r="U27" s="102">
        <f t="shared" si="7"/>
        <v>6.0060051414794091E-2</v>
      </c>
      <c r="V27" s="102">
        <f t="shared" si="5"/>
        <v>8.7291334531895085E-3</v>
      </c>
      <c r="W27" s="102">
        <f t="shared" si="5"/>
        <v>7.4500303614936396E-5</v>
      </c>
      <c r="X27" s="102">
        <f t="shared" si="5"/>
        <v>2.4529896236666212E-8</v>
      </c>
      <c r="Y27" s="102">
        <f t="shared" si="5"/>
        <v>1.9104588754879147E-13</v>
      </c>
      <c r="Z27" s="102">
        <f t="shared" si="5"/>
        <v>1.9922034017732405E-20</v>
      </c>
      <c r="AA27" s="102">
        <f t="shared" si="5"/>
        <v>1.4324036494791356E-29</v>
      </c>
      <c r="AB27" s="102">
        <f t="shared" si="5"/>
        <v>3.2603523440681318E-41</v>
      </c>
      <c r="AC27" s="102">
        <f t="shared" si="5"/>
        <v>9.3453479778224533E-56</v>
      </c>
      <c r="AD27" s="102">
        <f t="shared" si="5"/>
        <v>1.1153111841979665E-73</v>
      </c>
      <c r="AE27" s="102">
        <f t="shared" si="5"/>
        <v>1.4305874929968572E-95</v>
      </c>
      <c r="AF27" s="102">
        <f t="shared" si="5"/>
        <v>3.6036189839004432E-122</v>
      </c>
      <c r="AG27" s="102">
        <f t="shared" si="5"/>
        <v>1.9612335826573894E-154</v>
      </c>
      <c r="AH27" s="102">
        <f t="shared" si="5"/>
        <v>1.1479358366761251E-193</v>
      </c>
      <c r="AI27" s="102">
        <f t="shared" si="5"/>
        <v>9.3609401683372839E-242</v>
      </c>
      <c r="AJ27" s="102">
        <f t="shared" si="5"/>
        <v>0</v>
      </c>
      <c r="AK27" s="102">
        <f t="shared" si="5"/>
        <v>0</v>
      </c>
      <c r="AL27" s="102">
        <f t="shared" si="6"/>
        <v>0</v>
      </c>
    </row>
    <row r="28" spans="1:38">
      <c r="A28">
        <v>2005</v>
      </c>
      <c r="B28">
        <v>2059</v>
      </c>
      <c r="C28">
        <v>31</v>
      </c>
      <c r="E28" s="18">
        <f t="shared" si="3"/>
        <v>-4.6022970786740443</v>
      </c>
      <c r="G28" s="102">
        <f t="shared" si="7"/>
        <v>3.7197300758963071E-57</v>
      </c>
      <c r="H28" s="102">
        <f t="shared" si="7"/>
        <v>2.1174200035379375E-47</v>
      </c>
      <c r="I28" s="102">
        <f t="shared" si="7"/>
        <v>1.1353081339308675E-39</v>
      </c>
      <c r="J28" s="102">
        <f t="shared" si="7"/>
        <v>4.5279614571096381E-33</v>
      </c>
      <c r="K28" s="102">
        <f t="shared" si="7"/>
        <v>2.8773967434456407E-27</v>
      </c>
      <c r="L28" s="102">
        <f t="shared" si="7"/>
        <v>4.1656500540167181E-22</v>
      </c>
      <c r="M28" s="102">
        <f t="shared" si="7"/>
        <v>1.6354942110030692E-17</v>
      </c>
      <c r="N28" s="102">
        <f t="shared" si="7"/>
        <v>1.8672491726628953E-13</v>
      </c>
      <c r="O28" s="102">
        <f t="shared" si="7"/>
        <v>6.1923018362785919E-10</v>
      </c>
      <c r="P28" s="102">
        <f t="shared" si="7"/>
        <v>5.637615885843872E-7</v>
      </c>
      <c r="Q28" s="102">
        <f t="shared" si="7"/>
        <v>1.2692663223083981E-4</v>
      </c>
      <c r="R28" s="102">
        <f t="shared" si="7"/>
        <v>6.0839138415788507E-3</v>
      </c>
      <c r="S28" s="102">
        <f t="shared" si="7"/>
        <v>5.109366798960429E-2</v>
      </c>
      <c r="T28" s="102">
        <f t="shared" si="7"/>
        <v>5.9051997777376582E-2</v>
      </c>
      <c r="U28" s="102">
        <f t="shared" si="7"/>
        <v>7.0211309274054532E-3</v>
      </c>
      <c r="V28" s="102">
        <f t="shared" si="5"/>
        <v>6.0842118103941216E-5</v>
      </c>
      <c r="W28" s="102">
        <f t="shared" si="5"/>
        <v>2.5661062021078071E-8</v>
      </c>
      <c r="X28" s="102">
        <f t="shared" si="5"/>
        <v>3.2924895853381941E-13</v>
      </c>
      <c r="Y28" s="102">
        <f t="shared" si="5"/>
        <v>7.4494936814092843E-20</v>
      </c>
      <c r="Z28" s="102">
        <f t="shared" si="5"/>
        <v>1.5785473839654372E-28</v>
      </c>
      <c r="AA28" s="102">
        <f t="shared" si="5"/>
        <v>1.4997419907366015E-39</v>
      </c>
      <c r="AB28" s="102">
        <f t="shared" si="5"/>
        <v>2.695790703513793E-53</v>
      </c>
      <c r="AC28" s="102">
        <f t="shared" si="5"/>
        <v>3.3035708104981423E-70</v>
      </c>
      <c r="AD28" s="102">
        <f t="shared" si="5"/>
        <v>8.1111717152234295E-91</v>
      </c>
      <c r="AE28" s="102">
        <f t="shared" si="5"/>
        <v>8.9245578641385897E-116</v>
      </c>
      <c r="AF28" s="102">
        <f t="shared" si="5"/>
        <v>6.7214871357823987E-146</v>
      </c>
      <c r="AG28" s="102">
        <f t="shared" si="5"/>
        <v>3.0227412218188685E-182</v>
      </c>
      <c r="AH28" s="102">
        <f t="shared" si="5"/>
        <v>2.9486572309383277E-226</v>
      </c>
      <c r="AI28" s="102">
        <f t="shared" si="5"/>
        <v>0</v>
      </c>
      <c r="AJ28" s="102">
        <f t="shared" si="5"/>
        <v>0</v>
      </c>
      <c r="AK28" s="102">
        <f t="shared" si="5"/>
        <v>0</v>
      </c>
      <c r="AL28" s="102">
        <f t="shared" si="6"/>
        <v>0</v>
      </c>
    </row>
    <row r="29" spans="1:38">
      <c r="A29">
        <v>2006</v>
      </c>
      <c r="B29">
        <v>2192</v>
      </c>
      <c r="C29">
        <v>26</v>
      </c>
      <c r="E29" s="18">
        <f t="shared" si="3"/>
        <v>-4.8996836578106739</v>
      </c>
      <c r="G29" s="102">
        <f t="shared" si="7"/>
        <v>1.6497689311202015E-45</v>
      </c>
      <c r="H29" s="102">
        <f t="shared" si="7"/>
        <v>2.3942169950984367E-37</v>
      </c>
      <c r="I29" s="102">
        <f t="shared" si="7"/>
        <v>6.7768194120951536E-31</v>
      </c>
      <c r="J29" s="102">
        <f t="shared" si="7"/>
        <v>2.0962194720698724E-25</v>
      </c>
      <c r="K29" s="102">
        <f t="shared" si="7"/>
        <v>1.3260249831942504E-20</v>
      </c>
      <c r="L29" s="102">
        <f t="shared" si="7"/>
        <v>2.2802447015136909E-16</v>
      </c>
      <c r="M29" s="102">
        <f t="shared" si="7"/>
        <v>1.2106860506750407E-12</v>
      </c>
      <c r="N29" s="102">
        <f t="shared" si="7"/>
        <v>2.0564424457724833E-9</v>
      </c>
      <c r="O29" s="102">
        <f t="shared" si="7"/>
        <v>1.0857413654429532E-6</v>
      </c>
      <c r="P29" s="102">
        <f t="shared" si="7"/>
        <v>1.6436684327947516E-4</v>
      </c>
      <c r="Q29" s="102">
        <f t="shared" si="7"/>
        <v>6.2820774674686424E-3</v>
      </c>
      <c r="R29" s="102">
        <f t="shared" si="7"/>
        <v>5.1021818944896796E-2</v>
      </c>
      <c r="S29" s="102">
        <f t="shared" si="7"/>
        <v>7.0804566141969894E-2</v>
      </c>
      <c r="T29" s="102">
        <f t="shared" si="7"/>
        <v>1.2866183048558636E-2</v>
      </c>
      <c r="U29" s="102">
        <f t="shared" si="7"/>
        <v>2.2282578467073413E-4</v>
      </c>
      <c r="V29" s="102">
        <f t="shared" si="5"/>
        <v>2.53057236693162E-7</v>
      </c>
      <c r="W29" s="102">
        <f t="shared" si="5"/>
        <v>1.2183102127236472E-11</v>
      </c>
      <c r="X29" s="102">
        <f t="shared" si="5"/>
        <v>1.4987044488440472E-17</v>
      </c>
      <c r="Y29" s="102">
        <f t="shared" si="5"/>
        <v>2.6211417501212753E-25</v>
      </c>
      <c r="Z29" s="102">
        <f t="shared" si="5"/>
        <v>3.3042608413631072E-35</v>
      </c>
      <c r="AA29" s="102">
        <f t="shared" si="5"/>
        <v>1.3628715897637081E-47</v>
      </c>
      <c r="AB29" s="102">
        <f t="shared" si="5"/>
        <v>7.2975118424711478E-63</v>
      </c>
      <c r="AC29" s="102">
        <f t="shared" si="5"/>
        <v>1.7006349244645315E-81</v>
      </c>
      <c r="AD29" s="102">
        <f t="shared" si="5"/>
        <v>4.6515668366328293E-104</v>
      </c>
      <c r="AE29" s="102">
        <f t="shared" si="5"/>
        <v>3.0082069325270479E-131</v>
      </c>
      <c r="AF29" s="102">
        <f t="shared" si="5"/>
        <v>6.1646826913897557E-164</v>
      </c>
      <c r="AG29" s="102">
        <f t="shared" si="5"/>
        <v>2.9480066820818224E-203</v>
      </c>
      <c r="AH29" s="102">
        <f t="shared" si="5"/>
        <v>9.4958684482927689E-251</v>
      </c>
      <c r="AI29" s="102">
        <f t="shared" si="5"/>
        <v>0</v>
      </c>
      <c r="AJ29" s="102">
        <f t="shared" si="5"/>
        <v>0</v>
      </c>
      <c r="AK29" s="102">
        <f t="shared" si="5"/>
        <v>0</v>
      </c>
      <c r="AL29" s="102">
        <f t="shared" si="6"/>
        <v>0</v>
      </c>
    </row>
    <row r="30" spans="1:38">
      <c r="A30">
        <v>2007</v>
      </c>
      <c r="B30">
        <v>2301</v>
      </c>
      <c r="C30">
        <v>21</v>
      </c>
      <c r="E30" s="18">
        <f t="shared" si="3"/>
        <v>-5.3074142590901525</v>
      </c>
      <c r="G30" s="102">
        <f t="shared" si="7"/>
        <v>1.106676857873745E-34</v>
      </c>
      <c r="H30" s="102">
        <f t="shared" si="7"/>
        <v>4.1043489554980188E-28</v>
      </c>
      <c r="I30" s="102">
        <f t="shared" si="7"/>
        <v>6.1553217977529961E-23</v>
      </c>
      <c r="J30" s="102">
        <f t="shared" si="7"/>
        <v>1.4847163085121101E-18</v>
      </c>
      <c r="K30" s="102">
        <f t="shared" si="7"/>
        <v>9.4228448111319032E-15</v>
      </c>
      <c r="L30" s="102">
        <f t="shared" si="7"/>
        <v>1.9460391383805189E-11</v>
      </c>
      <c r="M30" s="102">
        <f t="shared" si="7"/>
        <v>1.4186922770026098E-8</v>
      </c>
      <c r="N30" s="102">
        <f t="shared" si="7"/>
        <v>3.6595981811817887E-6</v>
      </c>
      <c r="O30" s="102">
        <f t="shared" si="7"/>
        <v>3.161416255733655E-4</v>
      </c>
      <c r="P30" s="102">
        <f t="shared" si="7"/>
        <v>8.2487950806597286E-3</v>
      </c>
      <c r="Q30" s="102">
        <f t="shared" si="7"/>
        <v>5.6062749835484246E-2</v>
      </c>
      <c r="R30" s="102">
        <f t="shared" si="7"/>
        <v>8.1873950171453588E-2</v>
      </c>
      <c r="S30" s="102">
        <f t="shared" si="7"/>
        <v>2.0240772765037812E-2</v>
      </c>
      <c r="T30" s="102">
        <f t="shared" si="7"/>
        <v>6.3543994484779051E-4</v>
      </c>
      <c r="U30" s="102">
        <f t="shared" si="7"/>
        <v>1.8022044011064605E-6</v>
      </c>
      <c r="V30" s="102">
        <f t="shared" si="5"/>
        <v>3.0989757069312614E-10</v>
      </c>
      <c r="W30" s="102">
        <f t="shared" si="5"/>
        <v>2.032132717123586E-15</v>
      </c>
      <c r="X30" s="102">
        <f t="shared" si="5"/>
        <v>2.9708331045363866E-22</v>
      </c>
      <c r="Y30" s="102">
        <f t="shared" si="5"/>
        <v>5.206031973455289E-31</v>
      </c>
      <c r="Z30" s="102">
        <f t="shared" si="5"/>
        <v>5.3330601028472571E-42</v>
      </c>
      <c r="AA30" s="102">
        <f t="shared" si="5"/>
        <v>1.3868126217376118E-55</v>
      </c>
      <c r="AB30" s="102">
        <f t="shared" si="5"/>
        <v>3.4508941078088058E-72</v>
      </c>
      <c r="AC30" s="102">
        <f t="shared" si="5"/>
        <v>2.5945486904471134E-92</v>
      </c>
      <c r="AD30" s="102">
        <f t="shared" si="5"/>
        <v>1.4799864449311655E-116</v>
      </c>
      <c r="AE30" s="102">
        <f t="shared" si="5"/>
        <v>1.1830773905712683E-145</v>
      </c>
      <c r="AF30" s="102">
        <f t="shared" si="5"/>
        <v>1.5937746941503282E-180</v>
      </c>
      <c r="AG30" s="102">
        <f t="shared" si="5"/>
        <v>2.3156370983773591E-222</v>
      </c>
      <c r="AH30" s="102">
        <f t="shared" si="5"/>
        <v>0</v>
      </c>
      <c r="AI30" s="102">
        <f t="shared" si="5"/>
        <v>0</v>
      </c>
      <c r="AJ30" s="102">
        <f t="shared" si="5"/>
        <v>0</v>
      </c>
      <c r="AK30" s="102">
        <f t="shared" si="5"/>
        <v>0</v>
      </c>
      <c r="AL30" s="102">
        <f t="shared" si="6"/>
        <v>0</v>
      </c>
    </row>
    <row r="31" spans="1:38">
      <c r="A31">
        <v>2008</v>
      </c>
      <c r="B31">
        <v>2403</v>
      </c>
      <c r="C31">
        <v>89</v>
      </c>
      <c r="E31" s="18">
        <f t="shared" si="3"/>
        <v>-4.92440103800232</v>
      </c>
      <c r="G31" s="102">
        <f t="shared" si="7"/>
        <v>0</v>
      </c>
      <c r="H31" s="102">
        <f t="shared" si="7"/>
        <v>0</v>
      </c>
      <c r="I31" s="102">
        <f t="shared" si="7"/>
        <v>0</v>
      </c>
      <c r="J31" s="102">
        <f t="shared" si="7"/>
        <v>5.0148421432917208E-126</v>
      </c>
      <c r="K31" s="102">
        <f t="shared" si="7"/>
        <v>7.2211027182542128E-109</v>
      </c>
      <c r="L31" s="102">
        <f t="shared" si="7"/>
        <v>2.3736107992304647E-93</v>
      </c>
      <c r="M31" s="102">
        <f t="shared" si="7"/>
        <v>3.3862662499599046E-79</v>
      </c>
      <c r="N31" s="102">
        <f t="shared" si="7"/>
        <v>3.04777747233745E-66</v>
      </c>
      <c r="O31" s="102">
        <f t="shared" si="7"/>
        <v>2.1283914904071681E-54</v>
      </c>
      <c r="P31" s="102">
        <f t="shared" si="7"/>
        <v>1.2616057062589553E-43</v>
      </c>
      <c r="Q31" s="102">
        <f t="shared" si="7"/>
        <v>6.3413755176541151E-34</v>
      </c>
      <c r="R31" s="102">
        <f t="shared" si="7"/>
        <v>2.5011034674704967E-25</v>
      </c>
      <c r="S31" s="102">
        <f t="shared" si="7"/>
        <v>6.6819589847654962E-18</v>
      </c>
      <c r="T31" s="102">
        <f t="shared" si="7"/>
        <v>9.7660283810334388E-12</v>
      </c>
      <c r="U31" s="102">
        <f t="shared" si="7"/>
        <v>5.8997542636145498E-7</v>
      </c>
      <c r="V31" s="102">
        <f t="shared" si="5"/>
        <v>1.0387302385940337E-3</v>
      </c>
      <c r="W31" s="102">
        <f t="shared" si="5"/>
        <v>3.49137288210946E-2</v>
      </c>
      <c r="X31" s="102">
        <f t="shared" si="5"/>
        <v>1.3541257018759353E-2</v>
      </c>
      <c r="Y31" s="102">
        <f t="shared" si="5"/>
        <v>3.3480264093629186E-5</v>
      </c>
      <c r="Z31" s="102">
        <f t="shared" si="5"/>
        <v>2.6301695404259724E-10</v>
      </c>
      <c r="AA31" s="102">
        <f t="shared" si="5"/>
        <v>2.8997767249549947E-18</v>
      </c>
      <c r="AB31" s="102">
        <f t="shared" si="5"/>
        <v>1.7129128003083419E-29</v>
      </c>
      <c r="AC31" s="102">
        <f t="shared" si="5"/>
        <v>1.7265044963253168E-44</v>
      </c>
      <c r="AD31" s="102">
        <f t="shared" si="5"/>
        <v>7.4904825322274917E-64</v>
      </c>
      <c r="AE31" s="102">
        <f t="shared" si="5"/>
        <v>2.5852168539584281E-88</v>
      </c>
      <c r="AF31" s="102">
        <f t="shared" si="5"/>
        <v>8.5034996234994619E-119</v>
      </c>
      <c r="AG31" s="102">
        <f t="shared" si="5"/>
        <v>1.6914021120587169E-156</v>
      </c>
      <c r="AH31" s="102">
        <f t="shared" si="5"/>
        <v>0</v>
      </c>
      <c r="AI31" s="102">
        <f t="shared" si="5"/>
        <v>0</v>
      </c>
      <c r="AJ31" s="102">
        <f t="shared" si="5"/>
        <v>0</v>
      </c>
      <c r="AK31" s="102">
        <f t="shared" si="5"/>
        <v>0</v>
      </c>
      <c r="AL31" s="102">
        <f t="shared" si="6"/>
        <v>0</v>
      </c>
    </row>
    <row r="32" spans="1:38">
      <c r="A32" s="118">
        <v>2009</v>
      </c>
      <c r="B32" s="118">
        <v>2254</v>
      </c>
      <c r="C32" s="118">
        <v>216</v>
      </c>
      <c r="E32" s="18">
        <f t="shared" si="3"/>
        <v>-7.6887529396449112</v>
      </c>
      <c r="G32" s="102">
        <f t="shared" si="7"/>
        <v>0</v>
      </c>
      <c r="H32" s="102">
        <f t="shared" si="7"/>
        <v>0</v>
      </c>
      <c r="I32" s="102">
        <f t="shared" si="7"/>
        <v>0</v>
      </c>
      <c r="J32" s="102">
        <f t="shared" si="7"/>
        <v>0</v>
      </c>
      <c r="K32" s="102">
        <f t="shared" si="7"/>
        <v>0</v>
      </c>
      <c r="L32" s="102">
        <f t="shared" si="7"/>
        <v>0</v>
      </c>
      <c r="M32" s="102">
        <f t="shared" si="7"/>
        <v>0</v>
      </c>
      <c r="N32" s="102">
        <f t="shared" si="7"/>
        <v>0</v>
      </c>
      <c r="O32" s="102">
        <f t="shared" si="7"/>
        <v>0</v>
      </c>
      <c r="P32" s="102">
        <f t="shared" si="7"/>
        <v>0</v>
      </c>
      <c r="Q32" s="102">
        <f t="shared" si="7"/>
        <v>0</v>
      </c>
      <c r="R32" s="102">
        <f t="shared" si="7"/>
        <v>0</v>
      </c>
      <c r="S32" s="102">
        <f t="shared" si="7"/>
        <v>0</v>
      </c>
      <c r="T32" s="102">
        <f t="shared" si="7"/>
        <v>0</v>
      </c>
      <c r="U32" s="102">
        <f t="shared" si="7"/>
        <v>0</v>
      </c>
      <c r="V32" s="102">
        <f t="shared" si="5"/>
        <v>0</v>
      </c>
      <c r="W32" s="102">
        <f t="shared" si="5"/>
        <v>0</v>
      </c>
      <c r="X32" s="102">
        <f t="shared" si="5"/>
        <v>6.1150203561962142E-27</v>
      </c>
      <c r="Y32" s="102">
        <f t="shared" si="5"/>
        <v>1.8138660830876283E-16</v>
      </c>
      <c r="Z32" s="102">
        <f t="shared" si="5"/>
        <v>1.1486846757856454E-8</v>
      </c>
      <c r="AA32" s="102">
        <f t="shared" si="5"/>
        <v>8.0286495668098706E-4</v>
      </c>
      <c r="AB32" s="102">
        <f t="shared" si="5"/>
        <v>2.8031629483885084E-2</v>
      </c>
      <c r="AC32" s="102">
        <f t="shared" si="5"/>
        <v>1.8807002163530908E-4</v>
      </c>
      <c r="AD32" s="102">
        <f t="shared" si="5"/>
        <v>7.5876418895565341E-11</v>
      </c>
      <c r="AE32" s="102">
        <f t="shared" si="5"/>
        <v>4.3846518027377414E-22</v>
      </c>
      <c r="AF32" s="102">
        <f t="shared" si="5"/>
        <v>5.9260149147106084E-39</v>
      </c>
      <c r="AG32" s="102">
        <f t="shared" si="5"/>
        <v>1.7638481965495914E-62</v>
      </c>
      <c r="AH32" s="102">
        <f t="shared" si="5"/>
        <v>4.6255199195929377E-94</v>
      </c>
      <c r="AI32" s="102">
        <f t="shared" si="5"/>
        <v>0</v>
      </c>
      <c r="AJ32" s="102">
        <f t="shared" si="5"/>
        <v>0</v>
      </c>
      <c r="AK32" s="102">
        <f t="shared" si="5"/>
        <v>0</v>
      </c>
      <c r="AL32" s="102">
        <f t="shared" si="6"/>
        <v>0</v>
      </c>
    </row>
    <row r="33" spans="1:38">
      <c r="A33">
        <v>2010</v>
      </c>
      <c r="B33">
        <v>2120</v>
      </c>
      <c r="C33">
        <v>64</v>
      </c>
      <c r="E33" s="18">
        <f t="shared" si="3"/>
        <v>-4.5902530110679658</v>
      </c>
      <c r="G33" s="102">
        <f t="shared" si="7"/>
        <v>1.2544806043919115E-135</v>
      </c>
      <c r="H33" s="102">
        <f t="shared" si="7"/>
        <v>2.140970402721608E-115</v>
      </c>
      <c r="I33" s="102">
        <f t="shared" si="7"/>
        <v>2.6848280956491068E-99</v>
      </c>
      <c r="J33" s="102">
        <f t="shared" si="7"/>
        <v>1.8445283371175514E-85</v>
      </c>
      <c r="K33" s="102">
        <f t="shared" si="7"/>
        <v>3.5387133427171267E-73</v>
      </c>
      <c r="L33" s="102">
        <f t="shared" si="7"/>
        <v>4.25315485636396E-62</v>
      </c>
      <c r="M33" s="102">
        <f t="shared" si="7"/>
        <v>5.0032077719903124E-52</v>
      </c>
      <c r="N33" s="102">
        <f t="shared" si="7"/>
        <v>7.3933645838442139E-43</v>
      </c>
      <c r="O33" s="102">
        <f t="shared" si="7"/>
        <v>1.5556428366937651E-34</v>
      </c>
      <c r="P33" s="102">
        <f t="shared" si="7"/>
        <v>4.8336763969432044E-27</v>
      </c>
      <c r="Q33" s="102">
        <f t="shared" si="7"/>
        <v>2.143558108114165E-20</v>
      </c>
      <c r="R33" s="102">
        <f t="shared" si="7"/>
        <v>1.2335334248744933E-14</v>
      </c>
      <c r="S33" s="102">
        <f t="shared" si="7"/>
        <v>7.9139041747556141E-10</v>
      </c>
      <c r="T33" s="102">
        <f t="shared" si="7"/>
        <v>4.6010963504861855E-6</v>
      </c>
      <c r="U33" s="102">
        <f t="shared" si="7"/>
        <v>1.8624350513484721E-3</v>
      </c>
      <c r="V33" s="102">
        <f t="shared" si="5"/>
        <v>3.8007363772759407E-2</v>
      </c>
      <c r="W33" s="102">
        <f t="shared" si="5"/>
        <v>2.6569316238550772E-2</v>
      </c>
      <c r="X33" s="102">
        <f t="shared" si="5"/>
        <v>4.0303685893576605E-4</v>
      </c>
      <c r="Y33" s="102">
        <f t="shared" si="5"/>
        <v>7.7673078321673045E-8</v>
      </c>
      <c r="Z33" s="102">
        <f t="shared" si="5"/>
        <v>1.0170188331009169E-13</v>
      </c>
      <c r="AA33" s="102">
        <f t="shared" si="5"/>
        <v>4.3486954548871166E-22</v>
      </c>
      <c r="AB33" s="102">
        <f t="shared" si="5"/>
        <v>2.5654181701880548E-33</v>
      </c>
      <c r="AC33" s="102">
        <f t="shared" si="5"/>
        <v>7.5112134982585581E-48</v>
      </c>
      <c r="AD33" s="102">
        <f t="shared" si="5"/>
        <v>3.1923842331679156E-66</v>
      </c>
      <c r="AE33" s="102">
        <f t="shared" si="5"/>
        <v>4.3689193282927553E-89</v>
      </c>
      <c r="AF33" s="102">
        <f t="shared" si="5"/>
        <v>2.9040836510135261E-117</v>
      </c>
      <c r="AG33" s="102">
        <f t="shared" si="5"/>
        <v>8.0323940046156068E-152</v>
      </c>
      <c r="AH33" s="102">
        <f t="shared" si="5"/>
        <v>3.2724127306314795E-194</v>
      </c>
      <c r="AI33" s="102">
        <f t="shared" si="5"/>
        <v>0</v>
      </c>
      <c r="AJ33" s="102">
        <f t="shared" si="5"/>
        <v>0</v>
      </c>
      <c r="AK33" s="102">
        <f t="shared" si="5"/>
        <v>0</v>
      </c>
      <c r="AL33" s="102">
        <f t="shared" si="6"/>
        <v>0</v>
      </c>
    </row>
    <row r="34" spans="1:38">
      <c r="A34">
        <v>2011</v>
      </c>
      <c r="B34">
        <v>2386</v>
      </c>
      <c r="C34">
        <v>44</v>
      </c>
      <c r="E34" s="18">
        <f t="shared" si="3"/>
        <v>-4.6297193426535133</v>
      </c>
      <c r="G34" s="102">
        <f t="shared" si="7"/>
        <v>2.6558266577649084E-84</v>
      </c>
      <c r="H34" s="102">
        <f t="shared" si="7"/>
        <v>1.966224055220434E-70</v>
      </c>
      <c r="I34" s="102">
        <f t="shared" si="7"/>
        <v>1.9941895121141513E-59</v>
      </c>
      <c r="J34" s="102">
        <f t="shared" si="7"/>
        <v>5.2647716738290705E-50</v>
      </c>
      <c r="K34" s="102">
        <f t="shared" si="7"/>
        <v>1.0818263067821802E-41</v>
      </c>
      <c r="L34" s="102">
        <f t="shared" si="7"/>
        <v>2.9250506725296387E-34</v>
      </c>
      <c r="M34" s="102">
        <f t="shared" si="7"/>
        <v>1.3620279930771006E-27</v>
      </c>
      <c r="N34" s="102">
        <f t="shared" si="7"/>
        <v>1.2384067622727161E-21</v>
      </c>
      <c r="O34" s="102">
        <f t="shared" si="7"/>
        <v>2.266856713782487E-16</v>
      </c>
      <c r="P34" s="102">
        <f t="shared" si="7"/>
        <v>8.013266083125131E-12</v>
      </c>
      <c r="Q34" s="102">
        <f t="shared" si="7"/>
        <v>4.9370531222059202E-8</v>
      </c>
      <c r="R34" s="102">
        <f t="shared" si="7"/>
        <v>4.5235811216267361E-5</v>
      </c>
      <c r="S34" s="102">
        <f t="shared" si="7"/>
        <v>4.9788671508602753E-3</v>
      </c>
      <c r="T34" s="102">
        <f t="shared" si="7"/>
        <v>5.0282231434521797E-2</v>
      </c>
      <c r="U34" s="102">
        <f t="shared" si="7"/>
        <v>3.3560068840036261E-2</v>
      </c>
      <c r="V34" s="102">
        <f t="shared" si="5"/>
        <v>1.0009475086601492E-3</v>
      </c>
      <c r="W34" s="102">
        <f t="shared" si="5"/>
        <v>8.417410555508326E-7</v>
      </c>
      <c r="X34" s="102">
        <f t="shared" si="5"/>
        <v>1.1657490522702431E-11</v>
      </c>
      <c r="Y34" s="102">
        <f t="shared" si="5"/>
        <v>1.4226908463847229E-18</v>
      </c>
      <c r="Z34" s="102">
        <f t="shared" si="5"/>
        <v>7.3965397119412944E-28</v>
      </c>
      <c r="AA34" s="102">
        <f t="shared" si="5"/>
        <v>7.022272180517094E-40</v>
      </c>
      <c r="AB34" s="102">
        <f t="shared" si="5"/>
        <v>4.5097673809918001E-55</v>
      </c>
      <c r="AC34" s="102">
        <f t="shared" si="5"/>
        <v>6.0463988951120665E-74</v>
      </c>
      <c r="AD34" s="102">
        <f t="shared" si="5"/>
        <v>4.1272702863751744E-97</v>
      </c>
      <c r="AE34" s="102">
        <f t="shared" si="5"/>
        <v>2.5521410672269886E-125</v>
      </c>
      <c r="AF34" s="102">
        <f t="shared" si="5"/>
        <v>1.6379906206736317E-159</v>
      </c>
      <c r="AG34" s="102">
        <f t="shared" si="5"/>
        <v>6.5501586486645079E-201</v>
      </c>
      <c r="AH34" s="102">
        <f t="shared" si="5"/>
        <v>0</v>
      </c>
      <c r="AI34" s="102">
        <f t="shared" si="5"/>
        <v>0</v>
      </c>
      <c r="AJ34" s="102">
        <f t="shared" si="5"/>
        <v>0</v>
      </c>
      <c r="AK34" s="102">
        <f t="shared" si="5"/>
        <v>0</v>
      </c>
      <c r="AL34" s="102">
        <f t="shared" si="6"/>
        <v>0</v>
      </c>
    </row>
    <row r="35" spans="1:38">
      <c r="A35">
        <v>2012</v>
      </c>
      <c r="B35">
        <v>2551</v>
      </c>
      <c r="C35">
        <v>66</v>
      </c>
      <c r="D35" s="18"/>
      <c r="E35" s="18">
        <f t="shared" si="3"/>
        <v>-4.6726467005903478</v>
      </c>
      <c r="G35" s="102">
        <f t="shared" si="7"/>
        <v>2.436495052268086E-135</v>
      </c>
      <c r="H35" s="102">
        <f t="shared" si="7"/>
        <v>1.7194418013884155E-114</v>
      </c>
      <c r="I35" s="102">
        <f t="shared" si="7"/>
        <v>6.4956819150358404E-98</v>
      </c>
      <c r="J35" s="102">
        <f t="shared" si="7"/>
        <v>1.1120686717373574E-83</v>
      </c>
      <c r="K35" s="102">
        <f t="shared" si="7"/>
        <v>4.5832653335810553E-71</v>
      </c>
      <c r="L35" s="102">
        <f t="shared" si="7"/>
        <v>1.0338128894300197E-59</v>
      </c>
      <c r="M35" s="102">
        <f t="shared" si="7"/>
        <v>1.9922157118072251E-49</v>
      </c>
      <c r="N35" s="102">
        <f t="shared" si="7"/>
        <v>4.1666434490033776E-40</v>
      </c>
      <c r="O35" s="102">
        <f t="shared" si="7"/>
        <v>1.052984475032813E-31</v>
      </c>
      <c r="P35" s="102">
        <f t="shared" si="7"/>
        <v>3.2523346161966485E-24</v>
      </c>
      <c r="Q35" s="102">
        <f t="shared" si="7"/>
        <v>1.1490302893521535E-17</v>
      </c>
      <c r="R35" s="102">
        <f t="shared" si="7"/>
        <v>4.0578584343247648E-12</v>
      </c>
      <c r="S35" s="102">
        <f t="shared" si="7"/>
        <v>1.1734899623909821E-7</v>
      </c>
      <c r="T35" s="102">
        <f t="shared" si="7"/>
        <v>2.1350943389835596E-4</v>
      </c>
      <c r="U35" s="102">
        <f t="shared" si="7"/>
        <v>1.757865965209358E-2</v>
      </c>
      <c r="V35" s="102">
        <f t="shared" si="5"/>
        <v>4.3926004940199104E-2</v>
      </c>
      <c r="W35" s="102">
        <f t="shared" si="5"/>
        <v>2.071575413599079E-3</v>
      </c>
      <c r="X35" s="102">
        <f t="shared" si="5"/>
        <v>1.0545481445197138E-6</v>
      </c>
      <c r="Y35" s="102">
        <f t="shared" si="5"/>
        <v>3.0155461168413829E-12</v>
      </c>
      <c r="Z35" s="102">
        <f t="shared" si="5"/>
        <v>2.2609182810381358E-20</v>
      </c>
      <c r="AA35" s="102">
        <f t="shared" si="5"/>
        <v>1.8244385342492519E-31</v>
      </c>
      <c r="AB35" s="102">
        <f t="shared" si="5"/>
        <v>5.5671588193255127E-46</v>
      </c>
      <c r="AC35" s="102">
        <f t="shared" si="5"/>
        <v>1.8589018583634639E-64</v>
      </c>
      <c r="AD35" s="102">
        <f t="shared" si="5"/>
        <v>1.5305919835944088E-87</v>
      </c>
      <c r="AE35" s="102">
        <f t="shared" si="5"/>
        <v>5.0130951675174508E-116</v>
      </c>
      <c r="AF35" s="102">
        <f t="shared" si="5"/>
        <v>6.6082016931865434E-151</v>
      </c>
      <c r="AG35" s="102">
        <f t="shared" si="5"/>
        <v>1.7888842394161062E-193</v>
      </c>
      <c r="AH35" s="102">
        <f t="shared" si="5"/>
        <v>0</v>
      </c>
      <c r="AI35" s="102">
        <f t="shared" si="5"/>
        <v>0</v>
      </c>
      <c r="AJ35" s="102">
        <f t="shared" si="5"/>
        <v>0</v>
      </c>
      <c r="AK35" s="102">
        <f t="shared" si="5"/>
        <v>0</v>
      </c>
      <c r="AL35" s="102">
        <f>COMBIN($B35,$C35)*AL$6^$C35*(1-AL$6)^($B35-$C35)</f>
        <v>0</v>
      </c>
    </row>
    <row r="36" spans="1:38">
      <c r="A36">
        <v>2013</v>
      </c>
      <c r="B36">
        <v>2776</v>
      </c>
      <c r="C36">
        <v>64</v>
      </c>
      <c r="D36" s="18"/>
      <c r="E36" s="18">
        <f t="shared" si="3"/>
        <v>-4.7456523720422474</v>
      </c>
      <c r="G36" s="102">
        <f t="shared" si="7"/>
        <v>4.6219354312040038E-128</v>
      </c>
      <c r="H36" s="102">
        <f t="shared" si="7"/>
        <v>7.3891000874439984E-108</v>
      </c>
      <c r="I36" s="102">
        <f t="shared" si="7"/>
        <v>8.3845677133454213E-92</v>
      </c>
      <c r="J36" s="102">
        <f t="shared" si="7"/>
        <v>4.9652660707341437E-78</v>
      </c>
      <c r="K36" s="102">
        <f t="shared" si="7"/>
        <v>7.6880134889502609E-66</v>
      </c>
      <c r="L36" s="102">
        <f t="shared" si="7"/>
        <v>6.8339118542298608E-55</v>
      </c>
      <c r="M36" s="102">
        <f t="shared" si="7"/>
        <v>5.3055820794523381E-45</v>
      </c>
      <c r="N36" s="102">
        <f t="shared" si="7"/>
        <v>4.4697486316954198E-36</v>
      </c>
      <c r="O36" s="102">
        <f t="shared" si="7"/>
        <v>4.4532048154390866E-28</v>
      </c>
      <c r="P36" s="102">
        <f t="shared" si="7"/>
        <v>5.1913661839737661E-21</v>
      </c>
      <c r="Q36" s="102">
        <f t="shared" si="7"/>
        <v>6.4716809218105866E-15</v>
      </c>
      <c r="R36" s="102">
        <f t="shared" si="7"/>
        <v>7.3439988410083851E-10</v>
      </c>
      <c r="S36" s="102">
        <f t="shared" si="7"/>
        <v>6.0340691016494803E-6</v>
      </c>
      <c r="T36" s="102">
        <f t="shared" si="7"/>
        <v>2.6675242963632739E-3</v>
      </c>
      <c r="U36" s="102">
        <f t="shared" si="7"/>
        <v>4.3940586157156465E-2</v>
      </c>
      <c r="V36" s="102">
        <f t="shared" si="5"/>
        <v>1.7326975097573871E-2</v>
      </c>
      <c r="W36" s="102">
        <f t="shared" si="5"/>
        <v>9.6841027754602941E-5</v>
      </c>
      <c r="X36" s="102">
        <f t="shared" si="5"/>
        <v>4.1488146276428343E-9</v>
      </c>
      <c r="Y36" s="102">
        <f t="shared" si="5"/>
        <v>6.6508608552632577E-16</v>
      </c>
      <c r="Z36" s="102">
        <f t="shared" si="5"/>
        <v>1.7302314987566899E-25</v>
      </c>
      <c r="AA36" s="102">
        <f t="shared" si="5"/>
        <v>2.7546602297958698E-38</v>
      </c>
      <c r="AB36" s="102">
        <f t="shared" si="5"/>
        <v>8.5429001941775886E-55</v>
      </c>
      <c r="AC36" s="102">
        <f t="shared" si="5"/>
        <v>1.3293887584189524E-75</v>
      </c>
      <c r="AD36" s="102">
        <f t="shared" si="5"/>
        <v>2.0354300625460125E-101</v>
      </c>
      <c r="AE36" s="102">
        <f t="shared" si="5"/>
        <v>4.1742332167059627E-133</v>
      </c>
      <c r="AF36" s="102">
        <f t="shared" si="5"/>
        <v>9.3795863262628311E-172</v>
      </c>
      <c r="AG36" s="102">
        <f t="shared" si="5"/>
        <v>0</v>
      </c>
      <c r="AH36" s="102">
        <f t="shared" si="5"/>
        <v>0</v>
      </c>
      <c r="AI36" s="102">
        <f t="shared" si="5"/>
        <v>0</v>
      </c>
      <c r="AJ36" s="102">
        <f t="shared" si="5"/>
        <v>0</v>
      </c>
      <c r="AK36" s="102">
        <f t="shared" si="5"/>
        <v>0</v>
      </c>
      <c r="AL36" s="102">
        <f t="shared" ref="AL36:BA41" si="8">COMBIN($B36,$C36)*AL$6^$C36*(1-AL$6)^($B36-$C36)</f>
        <v>0</v>
      </c>
    </row>
    <row r="37" spans="1:38">
      <c r="A37">
        <v>2014</v>
      </c>
      <c r="B37">
        <v>3124</v>
      </c>
      <c r="C37">
        <v>45</v>
      </c>
      <c r="D37" s="18"/>
      <c r="E37" s="18">
        <f t="shared" si="3"/>
        <v>-5.0593753211672796</v>
      </c>
      <c r="G37" s="102">
        <f t="shared" si="7"/>
        <v>2.4362881822893118E-81</v>
      </c>
      <c r="H37" s="102">
        <f t="shared" si="7"/>
        <v>3.4817358946069608E-67</v>
      </c>
      <c r="I37" s="102">
        <f t="shared" si="7"/>
        <v>5.659966239726257E-56</v>
      </c>
      <c r="J37" s="102">
        <f t="shared" si="7"/>
        <v>2.0956392672784374E-46</v>
      </c>
      <c r="K37" s="102">
        <f t="shared" si="7"/>
        <v>5.3209823641357823E-38</v>
      </c>
      <c r="L37" s="102">
        <f t="shared" si="7"/>
        <v>1.5499550949872113E-30</v>
      </c>
      <c r="M37" s="102">
        <f t="shared" si="7"/>
        <v>6.6344375274164201E-24</v>
      </c>
      <c r="N37" s="102">
        <f t="shared" si="7"/>
        <v>4.5870176348572496E-18</v>
      </c>
      <c r="O37" s="102">
        <f t="shared" si="7"/>
        <v>5.0730703738444825E-13</v>
      </c>
      <c r="P37" s="102">
        <f t="shared" si="7"/>
        <v>8.1892658956042647E-9</v>
      </c>
      <c r="Q37" s="102">
        <f t="shared" si="7"/>
        <v>1.6389925356155493E-5</v>
      </c>
      <c r="R37" s="102">
        <f t="shared" si="7"/>
        <v>3.2281853229645637E-3</v>
      </c>
      <c r="S37" s="102">
        <f t="shared" si="7"/>
        <v>4.6414917905036206E-2</v>
      </c>
      <c r="T37" s="102">
        <f t="shared" si="7"/>
        <v>3.3683750615817028E-2</v>
      </c>
      <c r="U37" s="102">
        <f t="shared" si="7"/>
        <v>7.9160477107152478E-4</v>
      </c>
      <c r="V37" s="102">
        <f t="shared" si="5"/>
        <v>3.5639940624740859E-7</v>
      </c>
      <c r="W37" s="102">
        <f t="shared" si="5"/>
        <v>1.6628362938390741E-12</v>
      </c>
      <c r="X37" s="102">
        <f t="shared" si="5"/>
        <v>3.9339993977058919E-20</v>
      </c>
      <c r="Y37" s="102">
        <f t="shared" si="5"/>
        <v>2.0599079146997655E-30</v>
      </c>
      <c r="Z37" s="102">
        <f t="shared" si="5"/>
        <v>9.1245058261380726E-44</v>
      </c>
      <c r="AA37" s="102">
        <f t="shared" si="5"/>
        <v>1.1164554615924005E-60</v>
      </c>
      <c r="AB37" s="102">
        <f t="shared" si="5"/>
        <v>1.0173504720562411E-81</v>
      </c>
      <c r="AC37" s="102">
        <f t="shared" si="5"/>
        <v>1.4646825632622968E-107</v>
      </c>
      <c r="AD37" s="102">
        <f t="shared" si="5"/>
        <v>5.1866289916025168E-139</v>
      </c>
      <c r="AE37" s="102">
        <f t="shared" si="5"/>
        <v>4.6461057239639131E-177</v>
      </c>
      <c r="AF37" s="102">
        <f t="shared" si="5"/>
        <v>6.0681581950744883E-223</v>
      </c>
      <c r="AG37" s="102">
        <f t="shared" si="5"/>
        <v>0</v>
      </c>
      <c r="AH37" s="102">
        <f t="shared" si="5"/>
        <v>0</v>
      </c>
      <c r="AI37" s="102">
        <f t="shared" si="5"/>
        <v>0</v>
      </c>
      <c r="AJ37" s="102">
        <f t="shared" si="5"/>
        <v>0</v>
      </c>
      <c r="AK37" s="102">
        <f t="shared" si="5"/>
        <v>0</v>
      </c>
      <c r="AL37" s="102">
        <f t="shared" si="8"/>
        <v>0</v>
      </c>
    </row>
    <row r="38" spans="1:38">
      <c r="A38">
        <v>2015</v>
      </c>
      <c r="B38">
        <v>3389</v>
      </c>
      <c r="C38">
        <v>94</v>
      </c>
      <c r="D38" s="18"/>
      <c r="E38" s="18">
        <f t="shared" si="3"/>
        <v>-4.9385423387975296</v>
      </c>
      <c r="G38" s="102">
        <f t="shared" si="7"/>
        <v>0</v>
      </c>
      <c r="H38" s="102">
        <f t="shared" si="7"/>
        <v>0</v>
      </c>
      <c r="I38" s="102">
        <f t="shared" si="7"/>
        <v>0</v>
      </c>
      <c r="J38" s="102">
        <f t="shared" si="7"/>
        <v>3.2457753947809764E-121</v>
      </c>
      <c r="K38" s="102">
        <f t="shared" si="7"/>
        <v>3.2572958698618237E-103</v>
      </c>
      <c r="L38" s="102">
        <f t="shared" si="7"/>
        <v>5.3881490408538789E-87</v>
      </c>
      <c r="M38" s="102">
        <f t="shared" si="7"/>
        <v>2.7977999504982866E-72</v>
      </c>
      <c r="N38" s="102">
        <f t="shared" si="7"/>
        <v>6.4902197343525147E-59</v>
      </c>
      <c r="O38" s="102">
        <f t="shared" si="7"/>
        <v>7.9530548438246886E-47</v>
      </c>
      <c r="P38" s="102">
        <f t="shared" si="7"/>
        <v>5.3248281188871063E-36</v>
      </c>
      <c r="Q38" s="102">
        <f t="shared" si="7"/>
        <v>1.8098113628527979E-26</v>
      </c>
      <c r="R38" s="102">
        <f t="shared" si="7"/>
        <v>2.6412192580748897E-18</v>
      </c>
      <c r="S38" s="102">
        <f t="shared" si="7"/>
        <v>1.2821217125977802E-11</v>
      </c>
      <c r="T38" s="102">
        <f t="shared" si="7"/>
        <v>1.4705760572294445E-6</v>
      </c>
      <c r="U38" s="102">
        <f t="shared" si="7"/>
        <v>2.5907153203804561E-3</v>
      </c>
      <c r="V38" s="102">
        <f t="shared" si="5"/>
        <v>4.149767167082534E-2</v>
      </c>
      <c r="W38" s="102">
        <f t="shared" si="5"/>
        <v>3.2337087855518077E-3</v>
      </c>
      <c r="X38" s="102">
        <f t="shared" si="5"/>
        <v>5.867047836848323E-7</v>
      </c>
      <c r="Y38" s="102">
        <f t="shared" si="5"/>
        <v>1.0461255086020912E-13</v>
      </c>
      <c r="Z38" s="102">
        <f t="shared" si="5"/>
        <v>6.695261721921889E-24</v>
      </c>
      <c r="AA38" s="102">
        <f t="shared" si="5"/>
        <v>4.7365051682135658E-38</v>
      </c>
      <c r="AB38" s="102">
        <f t="shared" si="5"/>
        <v>9.2779531957386894E-57</v>
      </c>
      <c r="AC38" s="102">
        <f t="shared" si="5"/>
        <v>9.7440750478897092E-81</v>
      </c>
      <c r="AD38" s="102">
        <f t="shared" si="5"/>
        <v>7.6259818741251885E-111</v>
      </c>
      <c r="AE38" s="102">
        <f t="shared" si="5"/>
        <v>3.9681295823823118E-148</v>
      </c>
      <c r="AF38" s="102">
        <f t="shared" si="5"/>
        <v>0</v>
      </c>
      <c r="AG38" s="102">
        <f t="shared" si="5"/>
        <v>0</v>
      </c>
      <c r="AH38" s="102">
        <f t="shared" si="5"/>
        <v>0</v>
      </c>
      <c r="AI38" s="102">
        <f t="shared" si="5"/>
        <v>0</v>
      </c>
      <c r="AJ38" s="102">
        <f t="shared" si="5"/>
        <v>0</v>
      </c>
      <c r="AK38" s="102">
        <f t="shared" si="5"/>
        <v>0</v>
      </c>
      <c r="AL38" s="102">
        <f t="shared" si="8"/>
        <v>0</v>
      </c>
    </row>
    <row r="39" spans="1:38">
      <c r="A39" s="3">
        <v>2016</v>
      </c>
      <c r="B39" s="3">
        <v>3382</v>
      </c>
      <c r="C39" s="3">
        <v>143</v>
      </c>
      <c r="D39" s="18"/>
      <c r="E39" s="18">
        <f t="shared" si="3"/>
        <v>-5.3650602232364166</v>
      </c>
      <c r="G39" s="102">
        <f t="shared" si="7"/>
        <v>0</v>
      </c>
      <c r="H39" s="102">
        <f t="shared" si="7"/>
        <v>0</v>
      </c>
      <c r="I39" s="102">
        <f t="shared" si="7"/>
        <v>0</v>
      </c>
      <c r="J39" s="102">
        <f t="shared" si="7"/>
        <v>0</v>
      </c>
      <c r="K39" s="102">
        <f t="shared" si="7"/>
        <v>0</v>
      </c>
      <c r="L39" s="102">
        <f t="shared" si="7"/>
        <v>0</v>
      </c>
      <c r="M39" s="102">
        <f t="shared" si="7"/>
        <v>0</v>
      </c>
      <c r="N39" s="102">
        <f t="shared" si="7"/>
        <v>0</v>
      </c>
      <c r="O39" s="102">
        <f t="shared" si="7"/>
        <v>0</v>
      </c>
      <c r="P39" s="102">
        <f t="shared" si="7"/>
        <v>0</v>
      </c>
      <c r="Q39" s="102">
        <f t="shared" si="7"/>
        <v>3.4358238518039492E-60</v>
      </c>
      <c r="R39" s="102">
        <f t="shared" si="7"/>
        <v>7.2836706313605409E-46</v>
      </c>
      <c r="S39" s="102">
        <f t="shared" si="7"/>
        <v>2.7989009538814755E-33</v>
      </c>
      <c r="T39" s="102">
        <f t="shared" si="7"/>
        <v>1.4767443775787127E-22</v>
      </c>
      <c r="U39" s="102">
        <f t="shared" si="7"/>
        <v>7.3555463982396803E-14</v>
      </c>
      <c r="V39" s="102">
        <f t="shared" si="7"/>
        <v>2.1530207964604055E-7</v>
      </c>
      <c r="W39" s="102">
        <f t="shared" si="5"/>
        <v>2.0751563866398381E-3</v>
      </c>
      <c r="X39" s="102">
        <f t="shared" si="5"/>
        <v>3.2919048976327428E-2</v>
      </c>
      <c r="Y39" s="102">
        <f t="shared" si="5"/>
        <v>3.7828891596336994E-4</v>
      </c>
      <c r="Z39" s="102">
        <f t="shared" si="5"/>
        <v>1.1987692833697379E-9</v>
      </c>
      <c r="AA39" s="102">
        <f t="shared" si="5"/>
        <v>3.3645465614409392E-19</v>
      </c>
      <c r="AB39" s="102">
        <f t="shared" si="5"/>
        <v>2.1890108806693094E-33</v>
      </c>
      <c r="AC39" s="102">
        <f t="shared" si="5"/>
        <v>6.7015617275933233E-53</v>
      </c>
      <c r="AD39" s="102">
        <f t="shared" si="5"/>
        <v>1.4139459624586591E-78</v>
      </c>
      <c r="AE39" s="102">
        <f t="shared" si="5"/>
        <v>1.9484131759543925E-111</v>
      </c>
      <c r="AF39" s="102">
        <f t="shared" si="5"/>
        <v>9.0636990241307481E-153</v>
      </c>
      <c r="AG39" s="102">
        <f t="shared" si="5"/>
        <v>0</v>
      </c>
      <c r="AH39" s="102">
        <f t="shared" si="5"/>
        <v>0</v>
      </c>
      <c r="AI39" s="102">
        <f t="shared" si="5"/>
        <v>0</v>
      </c>
      <c r="AJ39" s="102">
        <f t="shared" si="5"/>
        <v>0</v>
      </c>
      <c r="AK39" s="102">
        <f t="shared" si="5"/>
        <v>0</v>
      </c>
      <c r="AL39" s="102">
        <f t="shared" si="8"/>
        <v>0</v>
      </c>
    </row>
    <row r="40" spans="1:38">
      <c r="A40" s="3">
        <v>2017</v>
      </c>
      <c r="B40" s="3">
        <v>3379</v>
      </c>
      <c r="C40" s="3">
        <v>83</v>
      </c>
      <c r="D40" s="18"/>
      <c r="E40" s="18">
        <f t="shared" si="3"/>
        <v>-4.9762760870766041</v>
      </c>
      <c r="F40" s="3"/>
      <c r="G40" s="102">
        <f t="shared" si="7"/>
        <v>0</v>
      </c>
      <c r="H40" s="102">
        <f t="shared" si="7"/>
        <v>0</v>
      </c>
      <c r="I40" s="102">
        <f t="shared" si="7"/>
        <v>8.6081984047597638E-121</v>
      </c>
      <c r="J40" s="102">
        <f t="shared" si="7"/>
        <v>6.573819861432242E-103</v>
      </c>
      <c r="K40" s="102">
        <f t="shared" si="7"/>
        <v>4.5492087950149926E-87</v>
      </c>
      <c r="L40" s="102">
        <f t="shared" si="7"/>
        <v>7.9688133246996851E-73</v>
      </c>
      <c r="M40" s="102">
        <f t="shared" si="7"/>
        <v>6.1433347273657642E-60</v>
      </c>
      <c r="N40" s="102">
        <f t="shared" si="7"/>
        <v>2.792475040917183E-48</v>
      </c>
      <c r="O40" s="102">
        <f t="shared" si="7"/>
        <v>8.4789789849039296E-38</v>
      </c>
      <c r="P40" s="102">
        <f t="shared" si="7"/>
        <v>1.7233249379888415E-28</v>
      </c>
      <c r="Q40" s="102">
        <f t="shared" si="7"/>
        <v>2.1259193710490087E-20</v>
      </c>
      <c r="R40" s="102">
        <f t="shared" si="7"/>
        <v>1.3207361106918921E-13</v>
      </c>
      <c r="S40" s="102">
        <f t="shared" si="7"/>
        <v>3.1515865408836535E-8</v>
      </c>
      <c r="T40" s="102">
        <f t="shared" si="7"/>
        <v>2.0257866603081481E-4</v>
      </c>
      <c r="U40" s="102">
        <f t="shared" si="7"/>
        <v>2.2556628701639433E-2</v>
      </c>
      <c r="V40" s="102">
        <f t="shared" si="7"/>
        <v>2.5520189716203602E-2</v>
      </c>
      <c r="W40" s="102">
        <f t="shared" si="5"/>
        <v>1.5573235372672942E-4</v>
      </c>
      <c r="X40" s="102">
        <f t="shared" si="5"/>
        <v>2.4361603291587962E-9</v>
      </c>
      <c r="Y40" s="102">
        <f t="shared" si="5"/>
        <v>4.098073498550815E-17</v>
      </c>
      <c r="Z40" s="102">
        <f t="shared" si="5"/>
        <v>2.6924207313582728E-28</v>
      </c>
      <c r="AA40" s="102">
        <f t="shared" si="5"/>
        <v>2.1166200135137807E-43</v>
      </c>
      <c r="AB40" s="102">
        <f t="shared" si="5"/>
        <v>4.9632723235686008E-63</v>
      </c>
      <c r="AC40" s="102">
        <f t="shared" si="5"/>
        <v>6.6906581278601034E-88</v>
      </c>
      <c r="AD40" s="102">
        <f t="shared" si="5"/>
        <v>7.1725503159679124E-119</v>
      </c>
      <c r="AE40" s="102">
        <f t="shared" si="5"/>
        <v>5.4288832006773962E-157</v>
      </c>
      <c r="AF40" s="102">
        <f t="shared" si="5"/>
        <v>0</v>
      </c>
      <c r="AG40" s="102">
        <f t="shared" si="5"/>
        <v>0</v>
      </c>
      <c r="AH40" s="102">
        <f t="shared" si="5"/>
        <v>0</v>
      </c>
      <c r="AI40" s="102">
        <f t="shared" si="5"/>
        <v>0</v>
      </c>
      <c r="AJ40" s="102">
        <f t="shared" si="5"/>
        <v>0</v>
      </c>
      <c r="AK40" s="102">
        <f t="shared" si="5"/>
        <v>0</v>
      </c>
      <c r="AL40" s="102">
        <f t="shared" si="8"/>
        <v>0</v>
      </c>
    </row>
    <row r="41" spans="1:38">
      <c r="A41" s="3">
        <v>2018</v>
      </c>
      <c r="B41">
        <v>3449</v>
      </c>
      <c r="C41">
        <v>72</v>
      </c>
      <c r="D41" s="18"/>
      <c r="E41" s="18">
        <f t="shared" si="3"/>
        <v>-4.9273501047680464</v>
      </c>
      <c r="F41" s="3"/>
      <c r="G41" s="102">
        <f t="shared" si="7"/>
        <v>1.0241307375732647E-140</v>
      </c>
      <c r="H41" s="102">
        <f t="shared" si="7"/>
        <v>5.3148503220095685E-118</v>
      </c>
      <c r="I41" s="102">
        <f t="shared" si="7"/>
        <v>5.8299566811471145E-100</v>
      </c>
      <c r="J41" s="102">
        <f t="shared" si="7"/>
        <v>1.6889938832349193E-84</v>
      </c>
      <c r="K41" s="102">
        <f t="shared" si="7"/>
        <v>7.8518722449170528E-71</v>
      </c>
      <c r="L41" s="102">
        <f t="shared" si="7"/>
        <v>1.4038784258004296E-58</v>
      </c>
      <c r="M41" s="102">
        <f t="shared" si="7"/>
        <v>1.5274412271351688E-47</v>
      </c>
      <c r="N41" s="102">
        <f t="shared" si="7"/>
        <v>1.2703710931560581E-37</v>
      </c>
      <c r="O41" s="102">
        <f t="shared" si="7"/>
        <v>8.7250844922869578E-29</v>
      </c>
      <c r="P41" s="102">
        <f t="shared" si="7"/>
        <v>4.7766504553125051E-21</v>
      </c>
      <c r="Q41" s="102">
        <f t="shared" si="7"/>
        <v>1.8320821635177351E-14</v>
      </c>
      <c r="R41" s="102">
        <f t="shared" si="7"/>
        <v>3.9748844100847267E-9</v>
      </c>
      <c r="S41" s="102">
        <f t="shared" si="7"/>
        <v>3.6289169307632778E-5</v>
      </c>
      <c r="T41" s="102">
        <f t="shared" si="7"/>
        <v>9.5474562648303878E-3</v>
      </c>
      <c r="U41" s="102">
        <f t="shared" si="7"/>
        <v>4.5472398674250646E-2</v>
      </c>
      <c r="V41" s="102">
        <f t="shared" si="7"/>
        <v>2.2456776917932249E-3</v>
      </c>
      <c r="W41" s="102">
        <f t="shared" si="5"/>
        <v>5.9553456981697131E-7</v>
      </c>
      <c r="X41" s="102">
        <f t="shared" si="5"/>
        <v>3.9262366226371568E-13</v>
      </c>
      <c r="Y41" s="102">
        <f t="shared" si="5"/>
        <v>2.6239389596817041E-22</v>
      </c>
      <c r="Z41" s="102">
        <f t="shared" si="5"/>
        <v>6.2582568692124444E-35</v>
      </c>
      <c r="AA41" s="102">
        <f t="shared" si="5"/>
        <v>1.5762781340483155E-51</v>
      </c>
      <c r="AB41" s="102">
        <f t="shared" si="5"/>
        <v>1.0047931782108389E-72</v>
      </c>
      <c r="AC41" s="102">
        <f t="shared" si="5"/>
        <v>2.9854247906117124E-99</v>
      </c>
      <c r="AD41" s="102">
        <f t="shared" si="5"/>
        <v>5.4216153417737799E-132</v>
      </c>
      <c r="AE41" s="102">
        <f t="shared" si="5"/>
        <v>5.0092602003369621E-172</v>
      </c>
      <c r="AF41" s="102">
        <f t="shared" si="5"/>
        <v>0</v>
      </c>
      <c r="AG41" s="102">
        <f t="shared" si="5"/>
        <v>0</v>
      </c>
      <c r="AH41" s="102">
        <f t="shared" si="5"/>
        <v>0</v>
      </c>
      <c r="AI41" s="102">
        <f t="shared" si="5"/>
        <v>0</v>
      </c>
      <c r="AJ41" s="102">
        <f t="shared" si="5"/>
        <v>0</v>
      </c>
      <c r="AK41" s="102">
        <f t="shared" si="5"/>
        <v>0</v>
      </c>
      <c r="AL41" s="102">
        <f t="shared" si="8"/>
        <v>0</v>
      </c>
    </row>
    <row r="42" spans="1:38">
      <c r="B42" s="3"/>
      <c r="D42" s="18"/>
      <c r="E42" s="18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T42" s="8"/>
      <c r="U42" s="8"/>
      <c r="V42" s="8"/>
      <c r="W42" s="8"/>
    </row>
    <row r="43" spans="1:38">
      <c r="B43" s="3"/>
      <c r="D43" s="18"/>
      <c r="E43" s="18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</row>
    <row r="44" spans="1:38">
      <c r="B44" s="3"/>
      <c r="D44" s="18"/>
      <c r="E44" s="18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</row>
    <row r="45" spans="1:38">
      <c r="B45" s="3"/>
      <c r="D45" s="18"/>
      <c r="E45" s="18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</row>
    <row r="46" spans="1:38">
      <c r="B46" s="3"/>
      <c r="D46" s="18"/>
      <c r="E46" s="18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</row>
    <row r="47" spans="1:38">
      <c r="B47" s="3"/>
      <c r="D47" s="18"/>
      <c r="E47" s="18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T47" s="8"/>
      <c r="U47" s="8"/>
      <c r="V47" s="8"/>
      <c r="W47" s="8"/>
    </row>
    <row r="48" spans="1:38">
      <c r="B48" s="3"/>
      <c r="D48" s="18"/>
      <c r="E48" s="18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</row>
    <row r="49" spans="2:16">
      <c r="B49" s="3"/>
      <c r="D49" s="18"/>
      <c r="E49" s="18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</row>
    <row r="50" spans="2:16">
      <c r="B50" s="3"/>
      <c r="D50" s="18"/>
      <c r="E50" s="18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</row>
    <row r="51" spans="2:16">
      <c r="D51" s="19"/>
      <c r="E51" s="19"/>
    </row>
    <row r="52" spans="2:16">
      <c r="B52" s="3"/>
      <c r="D52" s="18"/>
      <c r="E52" s="18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</row>
    <row r="53" spans="2:16">
      <c r="B53" s="3"/>
      <c r="D53" s="18"/>
      <c r="E53" s="18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</row>
    <row r="54" spans="2:16">
      <c r="B54" s="3"/>
      <c r="D54" s="18"/>
      <c r="E54" s="18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</row>
    <row r="55" spans="2:16">
      <c r="B55" s="3"/>
      <c r="D55" s="18"/>
      <c r="E55" s="18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</row>
    <row r="56" spans="2:16">
      <c r="B56" s="3"/>
      <c r="D56" s="18"/>
      <c r="E56" s="18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</row>
    <row r="57" spans="2:16">
      <c r="B57" s="3"/>
      <c r="D57" s="18"/>
      <c r="E57" s="18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</row>
    <row r="58" spans="2:16">
      <c r="B58" s="3"/>
      <c r="D58" s="18"/>
      <c r="E58" s="18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</row>
    <row r="59" spans="2:16">
      <c r="B59" s="3"/>
      <c r="D59" s="18"/>
      <c r="E59" s="18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</row>
    <row r="60" spans="2:16">
      <c r="B60" s="3"/>
      <c r="D60" s="18"/>
      <c r="E60" s="18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</row>
    <row r="61" spans="2:16">
      <c r="B61" s="3"/>
      <c r="D61" s="18"/>
      <c r="E61" s="18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</row>
    <row r="62" spans="2:16">
      <c r="B62" s="3"/>
      <c r="D62" s="18"/>
      <c r="E62" s="18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</row>
    <row r="63" spans="2:16">
      <c r="B63" s="3"/>
      <c r="D63" s="18"/>
      <c r="E63" s="18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</row>
    <row r="64" spans="2:16">
      <c r="B64" s="3"/>
      <c r="D64" s="18"/>
      <c r="E64" s="18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</row>
    <row r="65" spans="2:16">
      <c r="B65" s="3"/>
      <c r="D65" s="18"/>
      <c r="E65" s="18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</row>
    <row r="66" spans="2:16">
      <c r="B66" s="3"/>
      <c r="D66" s="18"/>
      <c r="E66" s="18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</row>
    <row r="67" spans="2:16">
      <c r="B67" s="3"/>
      <c r="D67" s="18"/>
      <c r="E67" s="18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</row>
    <row r="68" spans="2:16">
      <c r="B68" s="3"/>
      <c r="D68" s="18"/>
      <c r="E68" s="18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</row>
    <row r="69" spans="2:16">
      <c r="B69" s="3"/>
      <c r="D69" s="18"/>
      <c r="E69" s="18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</row>
    <row r="70" spans="2:16">
      <c r="B70" s="3"/>
      <c r="D70" s="18"/>
      <c r="E70" s="18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</row>
    <row r="71" spans="2:16">
      <c r="B71" s="3"/>
      <c r="D71" s="18"/>
      <c r="E71" s="18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</row>
    <row r="72" spans="2:16">
      <c r="E72" s="19"/>
    </row>
    <row r="73" spans="2:16">
      <c r="E73" s="19"/>
      <c r="F73" s="3"/>
      <c r="G73" s="7"/>
      <c r="H73" s="7"/>
      <c r="I73" s="7"/>
      <c r="J73" s="7"/>
      <c r="K73" s="7"/>
      <c r="L73" s="7"/>
      <c r="M73" s="7"/>
      <c r="N73" s="7"/>
      <c r="O73" s="7"/>
      <c r="P73" s="7"/>
    </row>
    <row r="74" spans="2:16">
      <c r="E74" s="19"/>
      <c r="F74" s="3"/>
      <c r="G74" s="7"/>
      <c r="H74" s="7"/>
      <c r="I74" s="7"/>
      <c r="J74" s="7"/>
      <c r="K74" s="7"/>
      <c r="L74" s="7"/>
      <c r="M74" s="7"/>
      <c r="N74" s="7"/>
      <c r="O74" s="7"/>
      <c r="P74" s="7"/>
    </row>
    <row r="75" spans="2:16">
      <c r="E75" s="19"/>
      <c r="F75" s="3"/>
      <c r="G75" s="7"/>
      <c r="H75" s="7"/>
      <c r="I75" s="7"/>
      <c r="J75" s="7"/>
      <c r="K75" s="7"/>
      <c r="L75" s="7"/>
      <c r="M75" s="7"/>
      <c r="N75" s="7"/>
      <c r="O75" s="7"/>
      <c r="P75" s="7"/>
    </row>
    <row r="76" spans="2:16">
      <c r="E76" s="19"/>
      <c r="F76" s="3"/>
      <c r="G76" s="7"/>
      <c r="H76" s="7"/>
      <c r="I76" s="7"/>
      <c r="J76" s="7"/>
      <c r="K76" s="7"/>
      <c r="L76" s="7"/>
      <c r="M76" s="7"/>
      <c r="N76" s="7"/>
      <c r="O76" s="7"/>
      <c r="P76" s="7"/>
    </row>
    <row r="77" spans="2:16">
      <c r="E77" s="19"/>
      <c r="F77" s="3"/>
      <c r="G77" s="7"/>
      <c r="H77" s="7"/>
      <c r="I77" s="7"/>
      <c r="J77" s="7"/>
      <c r="K77" s="7"/>
      <c r="L77" s="7"/>
      <c r="M77" s="7"/>
      <c r="N77" s="7"/>
      <c r="O77" s="7"/>
      <c r="P77" s="7"/>
    </row>
    <row r="78" spans="2:16">
      <c r="E78" s="19"/>
      <c r="F78" s="3"/>
      <c r="G78" s="7"/>
      <c r="H78" s="7"/>
      <c r="I78" s="7"/>
      <c r="J78" s="7"/>
      <c r="K78" s="7"/>
      <c r="L78" s="7"/>
      <c r="M78" s="7"/>
      <c r="N78" s="7"/>
      <c r="O78" s="7"/>
      <c r="P78" s="7"/>
    </row>
    <row r="79" spans="2:16">
      <c r="E79" s="19"/>
      <c r="F79" s="3"/>
      <c r="G79" s="7"/>
      <c r="H79" s="7"/>
      <c r="I79" s="7"/>
      <c r="J79" s="7"/>
      <c r="K79" s="7"/>
      <c r="L79" s="7"/>
      <c r="M79" s="7"/>
      <c r="N79" s="7"/>
      <c r="O79" s="7"/>
      <c r="P79" s="7"/>
    </row>
    <row r="80" spans="2:16">
      <c r="E80" s="19"/>
      <c r="F80" s="3"/>
      <c r="G80" s="7"/>
      <c r="H80" s="7"/>
      <c r="I80" s="7"/>
      <c r="J80" s="7"/>
      <c r="K80" s="7"/>
      <c r="L80" s="7"/>
      <c r="M80" s="7"/>
      <c r="N80" s="7"/>
      <c r="O80" s="7"/>
      <c r="P80" s="7"/>
    </row>
    <row r="81" spans="5:16">
      <c r="E81" s="19"/>
      <c r="F81" s="3"/>
      <c r="G81" s="7"/>
      <c r="H81" s="7"/>
      <c r="I81" s="7"/>
      <c r="J81" s="7"/>
      <c r="K81" s="7"/>
      <c r="L81" s="7"/>
      <c r="M81" s="7"/>
      <c r="N81" s="7"/>
      <c r="O81" s="7"/>
      <c r="P81" s="7"/>
    </row>
    <row r="82" spans="5:16">
      <c r="E82" s="19"/>
      <c r="F82" s="3"/>
      <c r="G82" s="7"/>
      <c r="H82" s="7"/>
      <c r="I82" s="7"/>
      <c r="J82" s="7"/>
      <c r="K82" s="7"/>
      <c r="L82" s="7"/>
      <c r="M82" s="7"/>
      <c r="N82" s="7"/>
      <c r="O82" s="7"/>
      <c r="P82" s="7"/>
    </row>
    <row r="83" spans="5:16">
      <c r="E83" s="19"/>
      <c r="F83" s="3"/>
      <c r="G83" s="7"/>
      <c r="H83" s="7"/>
      <c r="I83" s="7"/>
      <c r="J83" s="7"/>
      <c r="K83" s="7"/>
      <c r="L83" s="7"/>
      <c r="M83" s="7"/>
      <c r="N83" s="7"/>
      <c r="O83" s="7"/>
      <c r="P83" s="7"/>
    </row>
    <row r="84" spans="5:16">
      <c r="E84" s="19"/>
      <c r="F84" s="3"/>
      <c r="G84" s="7"/>
      <c r="H84" s="7"/>
      <c r="I84" s="7"/>
      <c r="J84" s="7"/>
      <c r="K84" s="7"/>
      <c r="L84" s="7"/>
      <c r="M84" s="7"/>
      <c r="N84" s="7"/>
      <c r="O84" s="7"/>
      <c r="P84" s="7"/>
    </row>
    <row r="85" spans="5:16">
      <c r="E85" s="19"/>
      <c r="F85" s="3"/>
      <c r="G85" s="7"/>
      <c r="H85" s="7"/>
      <c r="I85" s="7"/>
      <c r="J85" s="7"/>
      <c r="K85" s="7"/>
      <c r="L85" s="7"/>
      <c r="M85" s="7"/>
      <c r="N85" s="7"/>
      <c r="O85" s="7"/>
      <c r="P85" s="7"/>
    </row>
    <row r="86" spans="5:16">
      <c r="E86" s="19"/>
      <c r="F86" s="3"/>
      <c r="G86" s="7"/>
      <c r="H86" s="7"/>
      <c r="I86" s="7"/>
      <c r="J86" s="7"/>
      <c r="K86" s="7"/>
      <c r="L86" s="7"/>
      <c r="M86" s="7"/>
      <c r="N86" s="7"/>
      <c r="O86" s="7"/>
      <c r="P86" s="7"/>
    </row>
    <row r="87" spans="5:16">
      <c r="E87" s="19"/>
      <c r="F87" s="3"/>
      <c r="G87" s="7"/>
      <c r="H87" s="7"/>
      <c r="I87" s="7"/>
      <c r="J87" s="7"/>
      <c r="K87" s="7"/>
      <c r="L87" s="7"/>
      <c r="M87" s="7"/>
      <c r="N87" s="7"/>
      <c r="O87" s="7"/>
      <c r="P87" s="7"/>
    </row>
    <row r="88" spans="5:16">
      <c r="E88" s="19"/>
      <c r="F88" s="3"/>
      <c r="G88" s="7"/>
      <c r="H88" s="7"/>
      <c r="I88" s="7"/>
      <c r="J88" s="7"/>
      <c r="K88" s="7"/>
      <c r="L88" s="7"/>
      <c r="M88" s="7"/>
      <c r="N88" s="7"/>
      <c r="O88" s="7"/>
      <c r="P88" s="7"/>
    </row>
    <row r="89" spans="5:16">
      <c r="E89" s="19"/>
      <c r="F89" s="3"/>
      <c r="G89" s="7"/>
      <c r="H89" s="7"/>
      <c r="I89" s="7"/>
      <c r="J89" s="7"/>
      <c r="K89" s="7"/>
      <c r="L89" s="7"/>
      <c r="M89" s="7"/>
      <c r="N89" s="7"/>
      <c r="O89" s="7"/>
      <c r="P89" s="7"/>
    </row>
    <row r="90" spans="5:16">
      <c r="E90" s="19"/>
      <c r="F90" s="3"/>
      <c r="G90" s="7"/>
      <c r="H90" s="7"/>
      <c r="I90" s="7"/>
      <c r="J90" s="7"/>
      <c r="K90" s="7"/>
      <c r="L90" s="7"/>
      <c r="M90" s="7"/>
      <c r="N90" s="7"/>
      <c r="O90" s="7"/>
      <c r="P90" s="7"/>
    </row>
    <row r="91" spans="5:16">
      <c r="E91" s="19"/>
      <c r="F91" s="3"/>
      <c r="G91" s="7"/>
      <c r="H91" s="7"/>
      <c r="I91" s="7"/>
      <c r="J91" s="7"/>
      <c r="K91" s="7"/>
      <c r="L91" s="7"/>
      <c r="M91" s="7"/>
      <c r="N91" s="7"/>
      <c r="O91" s="7"/>
      <c r="P91" s="7"/>
    </row>
    <row r="92" spans="5:16">
      <c r="E92" s="19"/>
      <c r="F92" s="3"/>
      <c r="G92" s="7"/>
      <c r="H92" s="7"/>
      <c r="I92" s="7"/>
      <c r="J92" s="7"/>
      <c r="K92" s="7"/>
      <c r="L92" s="7"/>
      <c r="M92" s="7"/>
      <c r="N92" s="7"/>
      <c r="O92" s="7"/>
      <c r="P92" s="7"/>
    </row>
    <row r="93" spans="5:16">
      <c r="E93" s="19"/>
    </row>
    <row r="94" spans="5:16">
      <c r="E94" s="19"/>
    </row>
    <row r="95" spans="5:16">
      <c r="E95" s="19"/>
    </row>
    <row r="96" spans="5:16">
      <c r="E96" s="19"/>
    </row>
    <row r="97" spans="5:5">
      <c r="E97" s="19"/>
    </row>
    <row r="98" spans="5:5">
      <c r="E98" s="19"/>
    </row>
    <row r="99" spans="5:5">
      <c r="E99" s="19"/>
    </row>
    <row r="100" spans="5:5">
      <c r="E100" s="19"/>
    </row>
    <row r="101" spans="5:5">
      <c r="E101" s="19"/>
    </row>
    <row r="102" spans="5:5">
      <c r="E102" s="19"/>
    </row>
    <row r="103" spans="5:5">
      <c r="E103" s="19"/>
    </row>
    <row r="104" spans="5:5">
      <c r="E104" s="19"/>
    </row>
    <row r="105" spans="5:5">
      <c r="E105" s="19"/>
    </row>
    <row r="106" spans="5:5">
      <c r="E106" s="19"/>
    </row>
    <row r="107" spans="5:5">
      <c r="E107" s="19"/>
    </row>
    <row r="108" spans="5:5">
      <c r="E108" s="19"/>
    </row>
    <row r="109" spans="5:5">
      <c r="E109" s="19"/>
    </row>
    <row r="110" spans="5:5">
      <c r="E110" s="19"/>
    </row>
    <row r="111" spans="5:5">
      <c r="E111" s="19"/>
    </row>
    <row r="112" spans="5:5">
      <c r="E112" s="19"/>
    </row>
    <row r="113" spans="5:5">
      <c r="E113" s="19"/>
    </row>
    <row r="114" spans="5:5">
      <c r="E114" s="19"/>
    </row>
    <row r="115" spans="5:5">
      <c r="E115" s="19"/>
    </row>
    <row r="116" spans="5:5">
      <c r="E116" s="19"/>
    </row>
    <row r="117" spans="5:5">
      <c r="E117" s="19"/>
    </row>
    <row r="118" spans="5:5">
      <c r="E118" s="19"/>
    </row>
    <row r="119" spans="5:5">
      <c r="E119" s="19"/>
    </row>
    <row r="120" spans="5:5">
      <c r="E120" s="19"/>
    </row>
    <row r="121" spans="5:5">
      <c r="E121" s="19"/>
    </row>
    <row r="122" spans="5:5">
      <c r="E122" s="19"/>
    </row>
    <row r="123" spans="5:5">
      <c r="E123" s="19"/>
    </row>
    <row r="124" spans="5:5">
      <c r="E124" s="19"/>
    </row>
    <row r="125" spans="5:5">
      <c r="E125" s="19"/>
    </row>
    <row r="126" spans="5:5">
      <c r="E126" s="19"/>
    </row>
    <row r="127" spans="5:5">
      <c r="E127" s="19"/>
    </row>
    <row r="128" spans="5:5">
      <c r="E128" s="19"/>
    </row>
    <row r="129" spans="5:23">
      <c r="E129" s="19"/>
    </row>
    <row r="130" spans="5:23">
      <c r="E130" s="19"/>
    </row>
    <row r="131" spans="5:23">
      <c r="E131" s="19"/>
    </row>
    <row r="132" spans="5:23">
      <c r="E132" s="19"/>
      <c r="T132" s="8"/>
      <c r="U132" s="8"/>
      <c r="V132" s="8"/>
      <c r="W132" s="8"/>
    </row>
    <row r="133" spans="5:23">
      <c r="E133" s="19"/>
    </row>
    <row r="134" spans="5:23">
      <c r="E134" s="19"/>
    </row>
    <row r="135" spans="5:23">
      <c r="E135" s="19"/>
    </row>
    <row r="136" spans="5:23">
      <c r="E136" s="19"/>
    </row>
    <row r="137" spans="5:23">
      <c r="E137" s="19"/>
    </row>
    <row r="138" spans="5:23">
      <c r="E138" s="19"/>
    </row>
    <row r="139" spans="5:23">
      <c r="E139" s="19"/>
    </row>
    <row r="140" spans="5:23">
      <c r="E140" s="19"/>
    </row>
    <row r="141" spans="5:23">
      <c r="E141" s="19"/>
    </row>
    <row r="142" spans="5:23">
      <c r="E142" s="19"/>
    </row>
    <row r="143" spans="5:23">
      <c r="E143" s="19"/>
    </row>
    <row r="144" spans="5:23">
      <c r="E144" s="19"/>
    </row>
    <row r="145" spans="5:5">
      <c r="E145" s="19"/>
    </row>
    <row r="146" spans="5:5">
      <c r="E146" s="19"/>
    </row>
    <row r="147" spans="5:5">
      <c r="E147" s="19"/>
    </row>
    <row r="148" spans="5:5">
      <c r="E148" s="19"/>
    </row>
    <row r="149" spans="5:5">
      <c r="E149" s="19"/>
    </row>
    <row r="150" spans="5:5">
      <c r="E150" s="19"/>
    </row>
    <row r="151" spans="5:5">
      <c r="E151" s="19"/>
    </row>
    <row r="152" spans="5:5">
      <c r="E152" s="19"/>
    </row>
    <row r="153" spans="5:5">
      <c r="E153" s="19"/>
    </row>
    <row r="154" spans="5:5">
      <c r="E154" s="19"/>
    </row>
    <row r="155" spans="5:5">
      <c r="E155" s="19"/>
    </row>
    <row r="156" spans="5:5">
      <c r="E156" s="19"/>
    </row>
    <row r="157" spans="5:5">
      <c r="E157" s="19"/>
    </row>
    <row r="158" spans="5:5">
      <c r="E158" s="19"/>
    </row>
    <row r="159" spans="5:5">
      <c r="E159" s="19"/>
    </row>
    <row r="160" spans="5:5">
      <c r="E160" s="19"/>
    </row>
    <row r="161" spans="5:5">
      <c r="E161" s="19"/>
    </row>
    <row r="162" spans="5:5">
      <c r="E162" s="19"/>
    </row>
    <row r="163" spans="5:5">
      <c r="E163" s="19"/>
    </row>
    <row r="164" spans="5:5">
      <c r="E164" s="19"/>
    </row>
    <row r="165" spans="5:5">
      <c r="E165" s="19"/>
    </row>
    <row r="166" spans="5:5">
      <c r="E166" s="19"/>
    </row>
    <row r="167" spans="5:5">
      <c r="E167" s="19"/>
    </row>
    <row r="168" spans="5:5">
      <c r="E168" s="19"/>
    </row>
    <row r="169" spans="5:5">
      <c r="E169" s="19"/>
    </row>
    <row r="170" spans="5:5">
      <c r="E170" s="19"/>
    </row>
    <row r="171" spans="5:5">
      <c r="E171" s="19"/>
    </row>
    <row r="172" spans="5:5">
      <c r="E172" s="19"/>
    </row>
    <row r="173" spans="5:5">
      <c r="E173" s="19"/>
    </row>
    <row r="174" spans="5:5">
      <c r="E174" s="19"/>
    </row>
    <row r="175" spans="5:5">
      <c r="E175" s="19"/>
    </row>
    <row r="176" spans="5:5">
      <c r="E176" s="19"/>
    </row>
    <row r="177" spans="5:5">
      <c r="E177" s="19"/>
    </row>
    <row r="178" spans="5:5">
      <c r="E178" s="19"/>
    </row>
    <row r="179" spans="5:5">
      <c r="E179" s="19"/>
    </row>
    <row r="180" spans="5:5">
      <c r="E180" s="19"/>
    </row>
    <row r="181" spans="5:5">
      <c r="E181" s="19"/>
    </row>
    <row r="182" spans="5:5">
      <c r="E182" s="19"/>
    </row>
    <row r="183" spans="5:5">
      <c r="E183" s="19"/>
    </row>
    <row r="184" spans="5:5">
      <c r="E184" s="19"/>
    </row>
    <row r="185" spans="5:5">
      <c r="E185" s="19"/>
    </row>
    <row r="186" spans="5:5">
      <c r="E186" s="19"/>
    </row>
    <row r="187" spans="5:5">
      <c r="E187" s="19"/>
    </row>
    <row r="188" spans="5:5">
      <c r="E188" s="19"/>
    </row>
    <row r="189" spans="5:5">
      <c r="E189" s="19"/>
    </row>
    <row r="190" spans="5:5">
      <c r="E190" s="19"/>
    </row>
    <row r="191" spans="5:5">
      <c r="E191" s="19"/>
    </row>
    <row r="192" spans="5:5">
      <c r="E192" s="19"/>
    </row>
    <row r="193" spans="5:5">
      <c r="E193" s="19"/>
    </row>
    <row r="194" spans="5:5">
      <c r="E194" s="19"/>
    </row>
    <row r="195" spans="5:5">
      <c r="E195" s="19"/>
    </row>
    <row r="196" spans="5:5">
      <c r="E196" s="19"/>
    </row>
    <row r="197" spans="5:5">
      <c r="E197" s="19"/>
    </row>
    <row r="198" spans="5:5">
      <c r="E198" s="19"/>
    </row>
    <row r="199" spans="5:5">
      <c r="E199" s="19"/>
    </row>
    <row r="200" spans="5:5">
      <c r="E200" s="19"/>
    </row>
    <row r="201" spans="5:5">
      <c r="E201" s="19"/>
    </row>
    <row r="202" spans="5:5">
      <c r="E202" s="19"/>
    </row>
    <row r="203" spans="5:5">
      <c r="E203" s="19"/>
    </row>
    <row r="204" spans="5:5">
      <c r="E204" s="19"/>
    </row>
    <row r="205" spans="5:5">
      <c r="E205" s="19"/>
    </row>
    <row r="206" spans="5:5">
      <c r="E206" s="19"/>
    </row>
    <row r="207" spans="5:5">
      <c r="E207" s="19"/>
    </row>
    <row r="208" spans="5:5">
      <c r="E208" s="19"/>
    </row>
    <row r="209" spans="5:5">
      <c r="E209" s="19"/>
    </row>
    <row r="210" spans="5:5">
      <c r="E210" s="19"/>
    </row>
    <row r="211" spans="5:5">
      <c r="E211" s="19"/>
    </row>
    <row r="212" spans="5:5">
      <c r="E212" s="19"/>
    </row>
    <row r="213" spans="5:5">
      <c r="E213" s="19"/>
    </row>
    <row r="214" spans="5:5">
      <c r="E214" s="19"/>
    </row>
    <row r="215" spans="5:5">
      <c r="E215" s="19"/>
    </row>
    <row r="216" spans="5:5">
      <c r="E216" s="19"/>
    </row>
    <row r="217" spans="5:5">
      <c r="E217" s="19"/>
    </row>
    <row r="218" spans="5:5">
      <c r="E218" s="19"/>
    </row>
    <row r="219" spans="5:5">
      <c r="E219" s="19"/>
    </row>
    <row r="220" spans="5:5">
      <c r="E220" s="19"/>
    </row>
    <row r="221" spans="5:5">
      <c r="E221" s="19"/>
    </row>
    <row r="222" spans="5:5">
      <c r="E222" s="19"/>
    </row>
    <row r="223" spans="5:5">
      <c r="E223" s="19"/>
    </row>
    <row r="224" spans="5:5">
      <c r="E224" s="19"/>
    </row>
    <row r="225" spans="5:5">
      <c r="E225" s="19"/>
    </row>
    <row r="226" spans="5:5">
      <c r="E226" s="19"/>
    </row>
    <row r="227" spans="5:5">
      <c r="E227" s="19"/>
    </row>
    <row r="228" spans="5:5">
      <c r="E228" s="19"/>
    </row>
    <row r="229" spans="5:5">
      <c r="E229" s="19"/>
    </row>
    <row r="230" spans="5:5">
      <c r="E230" s="19"/>
    </row>
    <row r="231" spans="5:5">
      <c r="E231" s="19"/>
    </row>
    <row r="232" spans="5:5">
      <c r="E232" s="19"/>
    </row>
    <row r="233" spans="5:5">
      <c r="E233" s="19"/>
    </row>
    <row r="234" spans="5:5">
      <c r="E234" s="19"/>
    </row>
    <row r="235" spans="5:5">
      <c r="E235" s="19"/>
    </row>
    <row r="236" spans="5:5">
      <c r="E236" s="19"/>
    </row>
    <row r="237" spans="5:5">
      <c r="E237" s="19"/>
    </row>
    <row r="238" spans="5:5">
      <c r="E238" s="19"/>
    </row>
    <row r="239" spans="5:5">
      <c r="E239" s="19"/>
    </row>
    <row r="240" spans="5:5">
      <c r="E240" s="19"/>
    </row>
    <row r="241" spans="5:5">
      <c r="E241" s="19"/>
    </row>
    <row r="242" spans="5:5">
      <c r="E242" s="19"/>
    </row>
    <row r="243" spans="5:5">
      <c r="E243" s="19"/>
    </row>
    <row r="244" spans="5:5">
      <c r="E244" s="19"/>
    </row>
    <row r="245" spans="5:5">
      <c r="E245" s="19"/>
    </row>
    <row r="246" spans="5:5">
      <c r="E246" s="19"/>
    </row>
    <row r="247" spans="5:5">
      <c r="E247" s="19"/>
    </row>
    <row r="248" spans="5:5">
      <c r="E248" s="19"/>
    </row>
    <row r="249" spans="5:5">
      <c r="E249" s="19"/>
    </row>
    <row r="250" spans="5:5">
      <c r="E250" s="19"/>
    </row>
    <row r="251" spans="5:5">
      <c r="E251" s="19"/>
    </row>
    <row r="252" spans="5:5">
      <c r="E252" s="19"/>
    </row>
    <row r="253" spans="5:5">
      <c r="E253" s="19"/>
    </row>
    <row r="254" spans="5:5">
      <c r="E254" s="19"/>
    </row>
    <row r="255" spans="5:5">
      <c r="E255" s="19"/>
    </row>
    <row r="256" spans="5:5">
      <c r="E256" s="19"/>
    </row>
    <row r="257" spans="5:5">
      <c r="E257" s="19"/>
    </row>
    <row r="258" spans="5:5">
      <c r="E258" s="19"/>
    </row>
    <row r="259" spans="5:5">
      <c r="E259" s="19"/>
    </row>
    <row r="260" spans="5:5">
      <c r="E260" s="19"/>
    </row>
    <row r="261" spans="5:5">
      <c r="E261" s="19"/>
    </row>
    <row r="262" spans="5:5">
      <c r="E262" s="19"/>
    </row>
    <row r="263" spans="5:5">
      <c r="E263" s="19"/>
    </row>
    <row r="264" spans="5:5">
      <c r="E264" s="19"/>
    </row>
    <row r="265" spans="5:5">
      <c r="E265" s="19"/>
    </row>
    <row r="266" spans="5:5">
      <c r="E266" s="19"/>
    </row>
    <row r="267" spans="5:5">
      <c r="E267" s="19"/>
    </row>
    <row r="268" spans="5:5">
      <c r="E268" s="19"/>
    </row>
    <row r="269" spans="5:5">
      <c r="E269" s="19"/>
    </row>
    <row r="270" spans="5:5">
      <c r="E270" s="19"/>
    </row>
    <row r="271" spans="5:5">
      <c r="E271" s="19"/>
    </row>
    <row r="272" spans="5:5">
      <c r="E272" s="19"/>
    </row>
    <row r="273" spans="5:5">
      <c r="E273" s="19"/>
    </row>
    <row r="274" spans="5:5">
      <c r="E274" s="19"/>
    </row>
    <row r="275" spans="5:5">
      <c r="E275" s="19"/>
    </row>
    <row r="276" spans="5:5">
      <c r="E276" s="19"/>
    </row>
    <row r="277" spans="5:5">
      <c r="E277" s="19"/>
    </row>
    <row r="278" spans="5:5">
      <c r="E278" s="19"/>
    </row>
    <row r="279" spans="5:5">
      <c r="E279" s="19"/>
    </row>
    <row r="280" spans="5:5">
      <c r="E280" s="19"/>
    </row>
    <row r="281" spans="5:5">
      <c r="E281" s="19"/>
    </row>
    <row r="282" spans="5:5">
      <c r="E282" s="19"/>
    </row>
    <row r="283" spans="5:5">
      <c r="E283" s="19"/>
    </row>
    <row r="284" spans="5:5">
      <c r="E284" s="19"/>
    </row>
    <row r="285" spans="5:5">
      <c r="E285" s="19"/>
    </row>
    <row r="286" spans="5:5">
      <c r="E286" s="19"/>
    </row>
    <row r="287" spans="5:5">
      <c r="E287" s="19"/>
    </row>
    <row r="288" spans="5:5">
      <c r="E288" s="19"/>
    </row>
    <row r="289" spans="5:5">
      <c r="E289" s="19"/>
    </row>
    <row r="290" spans="5:5">
      <c r="E290" s="19"/>
    </row>
    <row r="291" spans="5:5">
      <c r="E291" s="19"/>
    </row>
    <row r="292" spans="5:5">
      <c r="E292" s="19"/>
    </row>
    <row r="293" spans="5:5">
      <c r="E293" s="19"/>
    </row>
    <row r="294" spans="5:5">
      <c r="E294" s="19"/>
    </row>
    <row r="295" spans="5:5">
      <c r="E295" s="19"/>
    </row>
    <row r="296" spans="5:5">
      <c r="E296" s="19"/>
    </row>
    <row r="297" spans="5:5">
      <c r="E297" s="19"/>
    </row>
    <row r="298" spans="5:5">
      <c r="E298" s="19"/>
    </row>
    <row r="299" spans="5:5">
      <c r="E299" s="19"/>
    </row>
    <row r="300" spans="5:5">
      <c r="E300" s="19"/>
    </row>
    <row r="301" spans="5:5">
      <c r="E301" s="19"/>
    </row>
    <row r="302" spans="5:5">
      <c r="E302" s="19"/>
    </row>
    <row r="303" spans="5:5">
      <c r="E303" s="19"/>
    </row>
    <row r="304" spans="5:5">
      <c r="E304" s="19"/>
    </row>
    <row r="305" spans="5:5">
      <c r="E305" s="19"/>
    </row>
    <row r="306" spans="5:5">
      <c r="E306" s="19"/>
    </row>
    <row r="307" spans="5:5">
      <c r="E307" s="19"/>
    </row>
    <row r="308" spans="5:5">
      <c r="E308" s="19"/>
    </row>
    <row r="309" spans="5:5">
      <c r="E309" s="19"/>
    </row>
    <row r="310" spans="5:5">
      <c r="E310" s="19"/>
    </row>
    <row r="311" spans="5:5">
      <c r="E311" s="19"/>
    </row>
    <row r="312" spans="5:5">
      <c r="E312" s="19"/>
    </row>
    <row r="313" spans="5:5">
      <c r="E313" s="19"/>
    </row>
    <row r="314" spans="5:5">
      <c r="E314" s="19"/>
    </row>
    <row r="315" spans="5:5">
      <c r="E315" s="19"/>
    </row>
    <row r="316" spans="5:5">
      <c r="E316" s="19"/>
    </row>
    <row r="317" spans="5:5">
      <c r="E317" s="19"/>
    </row>
    <row r="318" spans="5:5">
      <c r="E318" s="19"/>
    </row>
    <row r="319" spans="5:5">
      <c r="E319" s="19"/>
    </row>
    <row r="320" spans="5:5">
      <c r="E320" s="19"/>
    </row>
    <row r="321" spans="5:5">
      <c r="E321" s="19"/>
    </row>
    <row r="322" spans="5:5">
      <c r="E322" s="19"/>
    </row>
    <row r="323" spans="5:5">
      <c r="E323" s="19"/>
    </row>
    <row r="324" spans="5:5">
      <c r="E324" s="19"/>
    </row>
    <row r="325" spans="5:5">
      <c r="E325" s="19"/>
    </row>
    <row r="326" spans="5:5">
      <c r="E326" s="19"/>
    </row>
    <row r="327" spans="5:5">
      <c r="E327" s="19"/>
    </row>
    <row r="328" spans="5:5">
      <c r="E328" s="19"/>
    </row>
    <row r="329" spans="5:5">
      <c r="E329" s="19"/>
    </row>
    <row r="330" spans="5:5">
      <c r="E330" s="19"/>
    </row>
    <row r="331" spans="5:5">
      <c r="E331" s="19"/>
    </row>
    <row r="332" spans="5:5">
      <c r="E332" s="19"/>
    </row>
    <row r="333" spans="5:5">
      <c r="E333" s="19"/>
    </row>
    <row r="334" spans="5:5">
      <c r="E334" s="19"/>
    </row>
    <row r="335" spans="5:5">
      <c r="E335" s="19"/>
    </row>
    <row r="336" spans="5:5">
      <c r="E336" s="19"/>
    </row>
    <row r="337" spans="5:5">
      <c r="E337" s="19"/>
    </row>
    <row r="338" spans="5:5">
      <c r="E338" s="19"/>
    </row>
    <row r="339" spans="5:5">
      <c r="E339" s="19"/>
    </row>
    <row r="340" spans="5:5">
      <c r="E340" s="19"/>
    </row>
    <row r="341" spans="5:5">
      <c r="E341" s="19"/>
    </row>
    <row r="342" spans="5:5">
      <c r="E342" s="19"/>
    </row>
    <row r="343" spans="5:5">
      <c r="E343" s="19"/>
    </row>
    <row r="344" spans="5:5">
      <c r="E344" s="19"/>
    </row>
    <row r="345" spans="5:5">
      <c r="E345" s="19"/>
    </row>
    <row r="346" spans="5:5">
      <c r="E346" s="19"/>
    </row>
    <row r="347" spans="5:5">
      <c r="E347" s="19"/>
    </row>
    <row r="348" spans="5:5">
      <c r="E348" s="19"/>
    </row>
    <row r="349" spans="5:5">
      <c r="E349" s="19"/>
    </row>
    <row r="350" spans="5:5">
      <c r="E350" s="19"/>
    </row>
    <row r="351" spans="5:5">
      <c r="E351" s="19"/>
    </row>
    <row r="352" spans="5:5">
      <c r="E352" s="19"/>
    </row>
    <row r="353" spans="5:5">
      <c r="E353" s="19"/>
    </row>
    <row r="354" spans="5:5">
      <c r="E354" s="19"/>
    </row>
    <row r="355" spans="5:5">
      <c r="E355" s="19"/>
    </row>
    <row r="356" spans="5:5">
      <c r="E356" s="19"/>
    </row>
    <row r="357" spans="5:5">
      <c r="E357" s="19"/>
    </row>
    <row r="358" spans="5:5">
      <c r="E358" s="19"/>
    </row>
    <row r="359" spans="5:5">
      <c r="E359" s="19"/>
    </row>
    <row r="360" spans="5:5">
      <c r="E360" s="19"/>
    </row>
    <row r="361" spans="5:5">
      <c r="E361" s="19"/>
    </row>
    <row r="362" spans="5:5">
      <c r="E362" s="19"/>
    </row>
    <row r="363" spans="5:5">
      <c r="E363" s="19"/>
    </row>
    <row r="364" spans="5:5">
      <c r="E364" s="19"/>
    </row>
    <row r="365" spans="5:5">
      <c r="E365" s="19"/>
    </row>
    <row r="366" spans="5:5">
      <c r="E366" s="19"/>
    </row>
    <row r="367" spans="5:5">
      <c r="E367" s="19"/>
    </row>
    <row r="368" spans="5:5">
      <c r="E368" s="19"/>
    </row>
    <row r="369" spans="5:5">
      <c r="E369" s="19"/>
    </row>
    <row r="370" spans="5:5">
      <c r="E370" s="19"/>
    </row>
    <row r="371" spans="5:5">
      <c r="E371" s="19"/>
    </row>
    <row r="372" spans="5:5">
      <c r="E372" s="19"/>
    </row>
    <row r="373" spans="5:5">
      <c r="E373" s="19"/>
    </row>
    <row r="374" spans="5:5">
      <c r="E374" s="19"/>
    </row>
    <row r="375" spans="5:5">
      <c r="E375" s="19"/>
    </row>
    <row r="376" spans="5:5">
      <c r="E376" s="19"/>
    </row>
    <row r="377" spans="5:5">
      <c r="E377" s="19"/>
    </row>
    <row r="378" spans="5:5">
      <c r="E378" s="19"/>
    </row>
    <row r="379" spans="5:5">
      <c r="E379" s="19"/>
    </row>
    <row r="380" spans="5:5">
      <c r="E380" s="19"/>
    </row>
    <row r="381" spans="5:5">
      <c r="E381" s="19"/>
    </row>
    <row r="382" spans="5:5">
      <c r="E382" s="19"/>
    </row>
    <row r="383" spans="5:5">
      <c r="E383" s="19"/>
    </row>
    <row r="384" spans="5:5">
      <c r="E384" s="19"/>
    </row>
    <row r="385" spans="5:5">
      <c r="E385" s="19"/>
    </row>
    <row r="386" spans="5:5">
      <c r="E386" s="19"/>
    </row>
    <row r="387" spans="5:5">
      <c r="E387" s="19"/>
    </row>
    <row r="388" spans="5:5">
      <c r="E388" s="19"/>
    </row>
    <row r="389" spans="5:5">
      <c r="E389" s="19"/>
    </row>
    <row r="390" spans="5:5">
      <c r="E390" s="19"/>
    </row>
    <row r="391" spans="5:5">
      <c r="E391" s="19"/>
    </row>
    <row r="392" spans="5:5">
      <c r="E392" s="19"/>
    </row>
    <row r="393" spans="5:5">
      <c r="E393" s="19"/>
    </row>
    <row r="394" spans="5:5">
      <c r="E394" s="19"/>
    </row>
    <row r="395" spans="5:5">
      <c r="E395" s="19"/>
    </row>
    <row r="396" spans="5:5">
      <c r="E396" s="19"/>
    </row>
    <row r="397" spans="5:5">
      <c r="E397" s="19"/>
    </row>
    <row r="398" spans="5:5">
      <c r="E398" s="19"/>
    </row>
    <row r="399" spans="5:5">
      <c r="E399" s="19"/>
    </row>
    <row r="400" spans="5:5">
      <c r="E400" s="19"/>
    </row>
    <row r="401" spans="5:5">
      <c r="E401" s="19"/>
    </row>
    <row r="402" spans="5:5">
      <c r="E402" s="19"/>
    </row>
    <row r="403" spans="5:5">
      <c r="E403" s="19"/>
    </row>
    <row r="404" spans="5:5">
      <c r="E404" s="19"/>
    </row>
    <row r="405" spans="5:5">
      <c r="E405" s="19"/>
    </row>
    <row r="406" spans="5:5">
      <c r="E406" s="19"/>
    </row>
    <row r="407" spans="5:5">
      <c r="E407" s="19"/>
    </row>
    <row r="408" spans="5:5">
      <c r="E408" s="19"/>
    </row>
    <row r="409" spans="5:5">
      <c r="E409" s="19"/>
    </row>
    <row r="410" spans="5:5">
      <c r="E410" s="19"/>
    </row>
    <row r="411" spans="5:5">
      <c r="E411" s="19"/>
    </row>
    <row r="412" spans="5:5">
      <c r="E412" s="19"/>
    </row>
    <row r="413" spans="5:5">
      <c r="E413" s="19"/>
    </row>
    <row r="414" spans="5:5">
      <c r="E414" s="19"/>
    </row>
    <row r="415" spans="5:5">
      <c r="E415" s="19"/>
    </row>
    <row r="416" spans="5:5">
      <c r="E416" s="19"/>
    </row>
    <row r="417" spans="5:5">
      <c r="E417" s="19"/>
    </row>
    <row r="418" spans="5:5">
      <c r="E418" s="19"/>
    </row>
    <row r="419" spans="5:5">
      <c r="E419" s="19"/>
    </row>
    <row r="420" spans="5:5">
      <c r="E420" s="19"/>
    </row>
    <row r="421" spans="5:5">
      <c r="E421" s="19"/>
    </row>
    <row r="422" spans="5:5">
      <c r="E422" s="19"/>
    </row>
    <row r="423" spans="5:5">
      <c r="E423" s="19"/>
    </row>
    <row r="424" spans="5:5">
      <c r="E424" s="19"/>
    </row>
    <row r="425" spans="5:5">
      <c r="E425" s="19"/>
    </row>
    <row r="426" spans="5:5">
      <c r="E426" s="19"/>
    </row>
    <row r="427" spans="5:5">
      <c r="E427" s="19"/>
    </row>
    <row r="428" spans="5:5">
      <c r="E428" s="19"/>
    </row>
    <row r="429" spans="5:5">
      <c r="E429" s="19"/>
    </row>
    <row r="430" spans="5:5">
      <c r="E430" s="19"/>
    </row>
    <row r="431" spans="5:5">
      <c r="E431" s="19"/>
    </row>
    <row r="432" spans="5:5">
      <c r="E432" s="19"/>
    </row>
    <row r="433" spans="5:5">
      <c r="E433" s="19"/>
    </row>
    <row r="434" spans="5:5">
      <c r="E434" s="19"/>
    </row>
    <row r="435" spans="5:5">
      <c r="E435" s="19"/>
    </row>
    <row r="436" spans="5:5">
      <c r="E436" s="19"/>
    </row>
    <row r="437" spans="5:5">
      <c r="E437" s="19"/>
    </row>
    <row r="438" spans="5:5">
      <c r="E438" s="19"/>
    </row>
    <row r="439" spans="5:5">
      <c r="E439" s="19"/>
    </row>
    <row r="440" spans="5:5">
      <c r="E440" s="19"/>
    </row>
    <row r="441" spans="5:5">
      <c r="E441" s="19"/>
    </row>
    <row r="442" spans="5:5">
      <c r="E442" s="19"/>
    </row>
    <row r="443" spans="5:5">
      <c r="E443" s="19"/>
    </row>
    <row r="444" spans="5:5">
      <c r="E444" s="19"/>
    </row>
    <row r="445" spans="5:5">
      <c r="E445" s="19"/>
    </row>
    <row r="446" spans="5:5">
      <c r="E446" s="19"/>
    </row>
    <row r="447" spans="5:5">
      <c r="E447" s="19"/>
    </row>
    <row r="448" spans="5:5">
      <c r="E448" s="19"/>
    </row>
    <row r="449" spans="5:5">
      <c r="E449" s="19"/>
    </row>
    <row r="450" spans="5:5">
      <c r="E450" s="19"/>
    </row>
    <row r="451" spans="5:5">
      <c r="E451" s="19"/>
    </row>
    <row r="452" spans="5:5">
      <c r="E452" s="19"/>
    </row>
    <row r="453" spans="5:5">
      <c r="E453" s="19"/>
    </row>
    <row r="454" spans="5:5">
      <c r="E454" s="19"/>
    </row>
    <row r="455" spans="5:5">
      <c r="E455" s="19"/>
    </row>
    <row r="456" spans="5:5">
      <c r="E456" s="19"/>
    </row>
    <row r="457" spans="5:5">
      <c r="E457" s="19"/>
    </row>
    <row r="458" spans="5:5">
      <c r="E458" s="19"/>
    </row>
    <row r="459" spans="5:5">
      <c r="E459" s="19"/>
    </row>
    <row r="460" spans="5:5">
      <c r="E460" s="19"/>
    </row>
    <row r="461" spans="5:5">
      <c r="E461" s="19"/>
    </row>
    <row r="462" spans="5:5">
      <c r="E462" s="19"/>
    </row>
    <row r="463" spans="5:5">
      <c r="E463" s="19"/>
    </row>
    <row r="464" spans="5:5">
      <c r="E464" s="19"/>
    </row>
    <row r="465" spans="5:5">
      <c r="E465" s="19"/>
    </row>
    <row r="466" spans="5:5">
      <c r="E466" s="19"/>
    </row>
    <row r="467" spans="5:5">
      <c r="E467" s="19"/>
    </row>
    <row r="468" spans="5:5">
      <c r="E468" s="19"/>
    </row>
    <row r="469" spans="5:5">
      <c r="E469" s="19"/>
    </row>
    <row r="470" spans="5:5">
      <c r="E470" s="19"/>
    </row>
    <row r="471" spans="5:5">
      <c r="E471" s="19"/>
    </row>
    <row r="472" spans="5:5">
      <c r="E472" s="19"/>
    </row>
    <row r="473" spans="5:5">
      <c r="E473" s="19"/>
    </row>
    <row r="474" spans="5:5">
      <c r="E474" s="19"/>
    </row>
    <row r="475" spans="5:5">
      <c r="E475" s="19"/>
    </row>
    <row r="476" spans="5:5">
      <c r="E476" s="19"/>
    </row>
    <row r="477" spans="5:5">
      <c r="E477" s="19"/>
    </row>
    <row r="478" spans="5:5">
      <c r="E478" s="19"/>
    </row>
    <row r="479" spans="5:5">
      <c r="E479" s="19"/>
    </row>
    <row r="480" spans="5:5">
      <c r="E480" s="19"/>
    </row>
    <row r="481" spans="5:5">
      <c r="E481" s="19"/>
    </row>
    <row r="482" spans="5:5">
      <c r="E482" s="19"/>
    </row>
    <row r="483" spans="5:5">
      <c r="E483" s="19"/>
    </row>
    <row r="484" spans="5:5">
      <c r="E484" s="19"/>
    </row>
    <row r="485" spans="5:5">
      <c r="E485" s="19"/>
    </row>
    <row r="486" spans="5:5">
      <c r="E486" s="19"/>
    </row>
    <row r="487" spans="5:5">
      <c r="E487" s="19"/>
    </row>
    <row r="488" spans="5:5">
      <c r="E488" s="19"/>
    </row>
    <row r="489" spans="5:5">
      <c r="E489" s="19"/>
    </row>
    <row r="490" spans="5:5">
      <c r="E490" s="19"/>
    </row>
    <row r="491" spans="5:5">
      <c r="E491" s="19"/>
    </row>
    <row r="492" spans="5:5">
      <c r="E492" s="19"/>
    </row>
    <row r="493" spans="5:5">
      <c r="E493" s="19"/>
    </row>
    <row r="494" spans="5:5">
      <c r="E494" s="19"/>
    </row>
    <row r="495" spans="5:5">
      <c r="E495" s="19"/>
    </row>
    <row r="496" spans="5:5">
      <c r="E496" s="19"/>
    </row>
    <row r="497" spans="5:5">
      <c r="E497" s="19"/>
    </row>
    <row r="498" spans="5:5">
      <c r="E498" s="19"/>
    </row>
    <row r="499" spans="5:5">
      <c r="E499" s="19"/>
    </row>
    <row r="500" spans="5:5">
      <c r="E500" s="19"/>
    </row>
    <row r="501" spans="5:5">
      <c r="E501" s="19"/>
    </row>
    <row r="502" spans="5:5">
      <c r="E502" s="19"/>
    </row>
    <row r="503" spans="5:5">
      <c r="E503" s="19"/>
    </row>
    <row r="504" spans="5:5">
      <c r="E504" s="19"/>
    </row>
    <row r="505" spans="5:5">
      <c r="E505" s="19"/>
    </row>
    <row r="506" spans="5:5">
      <c r="E506" s="19"/>
    </row>
    <row r="507" spans="5:5">
      <c r="E507" s="19"/>
    </row>
    <row r="508" spans="5:5">
      <c r="E508" s="19"/>
    </row>
    <row r="509" spans="5:5">
      <c r="E509" s="19"/>
    </row>
    <row r="510" spans="5:5">
      <c r="E510" s="19"/>
    </row>
    <row r="511" spans="5:5">
      <c r="E511" s="19"/>
    </row>
    <row r="512" spans="5:5">
      <c r="E512" s="19"/>
    </row>
    <row r="513" spans="5:5">
      <c r="E513" s="19"/>
    </row>
    <row r="514" spans="5:5">
      <c r="E514" s="19"/>
    </row>
    <row r="515" spans="5:5">
      <c r="E515" s="19"/>
    </row>
    <row r="516" spans="5:5">
      <c r="E516" s="19"/>
    </row>
    <row r="517" spans="5:5">
      <c r="E517" s="19"/>
    </row>
    <row r="518" spans="5:5">
      <c r="E518" s="19"/>
    </row>
    <row r="519" spans="5:5">
      <c r="E519" s="19"/>
    </row>
    <row r="520" spans="5:5">
      <c r="E520" s="19"/>
    </row>
    <row r="521" spans="5:5">
      <c r="E521" s="19"/>
    </row>
    <row r="522" spans="5:5">
      <c r="E522" s="19"/>
    </row>
    <row r="523" spans="5:5">
      <c r="E523" s="19"/>
    </row>
    <row r="524" spans="5:5">
      <c r="E524" s="19"/>
    </row>
    <row r="525" spans="5:5">
      <c r="E525" s="19"/>
    </row>
    <row r="526" spans="5:5">
      <c r="E526" s="19"/>
    </row>
    <row r="527" spans="5:5">
      <c r="E527" s="19"/>
    </row>
    <row r="528" spans="5:5">
      <c r="E528" s="19"/>
    </row>
    <row r="529" spans="5:5">
      <c r="E529" s="19"/>
    </row>
    <row r="530" spans="5:5">
      <c r="E530" s="19"/>
    </row>
    <row r="531" spans="5:5">
      <c r="E531" s="19"/>
    </row>
    <row r="532" spans="5:5">
      <c r="E532" s="19"/>
    </row>
    <row r="533" spans="5:5">
      <c r="E533" s="19"/>
    </row>
  </sheetData>
  <phoneticPr fontId="15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61B2C-1665-4BB0-9372-CDEE5A5D4A77}">
  <sheetPr codeName="Sheet4"/>
  <dimension ref="A1:AN533"/>
  <sheetViews>
    <sheetView topLeftCell="A16" zoomScale="145" zoomScaleNormal="145" workbookViewId="0">
      <selection activeCell="E10" sqref="E10"/>
    </sheetView>
  </sheetViews>
  <sheetFormatPr defaultColWidth="8.85546875" defaultRowHeight="12.75"/>
  <cols>
    <col min="1" max="1" width="6.42578125" customWidth="1"/>
    <col min="2" max="2" width="16.42578125" customWidth="1"/>
    <col min="3" max="3" width="11.42578125" customWidth="1"/>
    <col min="4" max="4" width="10.28515625" customWidth="1"/>
    <col min="5" max="5" width="8.42578125" customWidth="1"/>
    <col min="6" max="6" width="1.5703125" customWidth="1"/>
    <col min="7" max="7" width="9.5703125" customWidth="1"/>
    <col min="8" max="8" width="7.5703125" customWidth="1"/>
    <col min="9" max="9" width="13" customWidth="1"/>
    <col min="10" max="11" width="10.28515625" bestFit="1" customWidth="1"/>
    <col min="12" max="12" width="10" customWidth="1"/>
    <col min="13" max="14" width="10.28515625" bestFit="1" customWidth="1"/>
    <col min="15" max="17" width="10.5703125" bestFit="1" customWidth="1"/>
    <col min="18" max="18" width="12.7109375" bestFit="1" customWidth="1"/>
    <col min="19" max="28" width="10.28515625" bestFit="1" customWidth="1"/>
    <col min="29" max="29" width="11.140625" bestFit="1" customWidth="1"/>
    <col min="30" max="31" width="14.28515625" bestFit="1" customWidth="1"/>
    <col min="32" max="39" width="11.140625" bestFit="1" customWidth="1"/>
    <col min="40" max="40" width="12.140625" customWidth="1"/>
  </cols>
  <sheetData>
    <row r="1" spans="1:40">
      <c r="A1" s="9" t="s">
        <v>20</v>
      </c>
      <c r="G1" s="38" t="s">
        <v>43</v>
      </c>
      <c r="H1" s="2"/>
      <c r="I1" s="1"/>
      <c r="J1" s="10"/>
    </row>
    <row r="2" spans="1:40" ht="15.75">
      <c r="A2" s="5" t="s">
        <v>14</v>
      </c>
      <c r="B2" s="29">
        <v>9.2805425157496755E-4</v>
      </c>
      <c r="C2" s="29"/>
      <c r="D2" s="5" t="s">
        <v>31</v>
      </c>
      <c r="E2" s="17">
        <v>0.11846562033022111</v>
      </c>
      <c r="F2" s="20">
        <v>0.5</v>
      </c>
      <c r="G2" s="8"/>
      <c r="H2" s="111" t="s">
        <v>23</v>
      </c>
      <c r="I2" s="4">
        <v>7.125813909830728</v>
      </c>
      <c r="J2" s="4">
        <v>6.4094981492696608</v>
      </c>
      <c r="K2" s="4">
        <v>5.8122259495159136</v>
      </c>
      <c r="L2" s="4">
        <v>5.2755509865158805</v>
      </c>
      <c r="M2" s="4">
        <v>4.777164503502596</v>
      </c>
      <c r="N2" s="4">
        <v>4.3055479533511987</v>
      </c>
      <c r="O2" s="4">
        <v>3.8537554854714444</v>
      </c>
      <c r="P2" s="4">
        <v>3.4171674928185709</v>
      </c>
      <c r="Q2" s="4">
        <v>2.9924908250023741</v>
      </c>
      <c r="R2" s="4">
        <v>2.5772495377323175</v>
      </c>
      <c r="S2" s="4">
        <v>2.1694991836061122</v>
      </c>
      <c r="T2" s="4">
        <v>1.7676541094632017</v>
      </c>
      <c r="U2" s="4">
        <v>1.3703764109528718</v>
      </c>
      <c r="V2" s="4">
        <v>0.97650046358968279</v>
      </c>
      <c r="W2" s="4">
        <v>0.58497876543593241</v>
      </c>
      <c r="X2" s="4">
        <v>0.19484074156939934</v>
      </c>
      <c r="Y2" s="4">
        <v>-0.19484074156939934</v>
      </c>
      <c r="Z2" s="4">
        <v>-0.58497876543593241</v>
      </c>
      <c r="AA2" s="4">
        <v>-0.97650046358968279</v>
      </c>
      <c r="AB2" s="4">
        <v>-1.3703764109528718</v>
      </c>
      <c r="AC2" s="4">
        <v>-1.7676541094632017</v>
      </c>
      <c r="AD2">
        <v>-2.1694991836061122</v>
      </c>
      <c r="AE2">
        <v>-2.5772495377323175</v>
      </c>
      <c r="AF2" s="4">
        <v>-2.9924908250023741</v>
      </c>
      <c r="AG2" s="4">
        <v>-3.4171674928185709</v>
      </c>
      <c r="AH2" s="4">
        <v>-3.8537554854714444</v>
      </c>
      <c r="AI2" s="4">
        <v>-4.3055479533511987</v>
      </c>
      <c r="AJ2" s="4">
        <v>-4.777164503502596</v>
      </c>
      <c r="AK2" s="4">
        <v>-5.2755509865158805</v>
      </c>
      <c r="AL2" s="4">
        <v>-5.8122259495159136</v>
      </c>
      <c r="AM2" s="4">
        <v>-6.4094981492696608</v>
      </c>
      <c r="AN2" s="4">
        <v>-7.125813909830728</v>
      </c>
    </row>
    <row r="3" spans="1:40" ht="15.75">
      <c r="A3" s="5" t="s">
        <v>15</v>
      </c>
      <c r="B3" s="28">
        <v>4.9884002091711954E-2</v>
      </c>
      <c r="C3" s="28"/>
      <c r="D3" s="5" t="s">
        <v>32</v>
      </c>
      <c r="E3" s="8">
        <v>0.52791977059474571</v>
      </c>
      <c r="F3" s="8">
        <v>0.39</v>
      </c>
      <c r="G3" s="8"/>
      <c r="H3" s="33" t="s">
        <v>42</v>
      </c>
      <c r="I3" s="37">
        <v>3.0974313976850067E-12</v>
      </c>
      <c r="J3" s="37">
        <v>3.0687676494147169E-10</v>
      </c>
      <c r="K3" s="37">
        <v>1.0346434189931964E-8</v>
      </c>
      <c r="L3" s="37">
        <v>1.8587831042048582E-7</v>
      </c>
      <c r="M3" s="37">
        <v>2.1369198300785822E-6</v>
      </c>
      <c r="N3" s="37">
        <v>1.7337640204613515E-5</v>
      </c>
      <c r="O3" s="37">
        <v>1.0541646007925857E-4</v>
      </c>
      <c r="P3" s="37">
        <v>4.9992883985248147E-4</v>
      </c>
      <c r="Q3" s="37">
        <v>1.9019074802430671E-3</v>
      </c>
      <c r="R3" s="37">
        <v>5.9242168164729088E-3</v>
      </c>
      <c r="S3" s="36">
        <v>1.5340415889209393E-2</v>
      </c>
      <c r="T3" s="36">
        <v>3.340185034481407E-2</v>
      </c>
      <c r="U3" s="36">
        <v>6.1681145194339065E-2</v>
      </c>
      <c r="V3" s="36">
        <v>9.721282100629125E-2</v>
      </c>
      <c r="W3" s="36">
        <v>0.13134554887729719</v>
      </c>
      <c r="X3" s="36">
        <v>0.15256707799664646</v>
      </c>
      <c r="Y3" s="36">
        <v>0.15256707799664646</v>
      </c>
      <c r="Z3" s="36">
        <v>0.13134554887729719</v>
      </c>
      <c r="AA3" s="36">
        <v>9.721282100629125E-2</v>
      </c>
      <c r="AB3" s="36">
        <v>6.1681145194339065E-2</v>
      </c>
      <c r="AC3" s="36">
        <v>3.340185034481407E-2</v>
      </c>
      <c r="AD3" s="36">
        <v>1.5340415889209393E-2</v>
      </c>
      <c r="AE3" s="36">
        <v>5.9242168164729088E-3</v>
      </c>
      <c r="AF3" s="36">
        <v>1.9019074802430671E-3</v>
      </c>
      <c r="AG3" s="36">
        <v>4.9992883985248147E-4</v>
      </c>
      <c r="AH3" s="36">
        <v>1.0541646007925857E-4</v>
      </c>
      <c r="AI3" s="36">
        <v>1.7337640204613515E-5</v>
      </c>
      <c r="AJ3" s="36">
        <v>2.1369198300785822E-6</v>
      </c>
      <c r="AK3" s="36">
        <v>1.8587831042048582E-7</v>
      </c>
      <c r="AL3" s="36">
        <v>1.0346434189931964E-8</v>
      </c>
      <c r="AM3" s="36">
        <v>3.0687676494147169E-10</v>
      </c>
      <c r="AN3" s="36">
        <v>3.0974313976850067E-12</v>
      </c>
    </row>
    <row r="4" spans="1:40">
      <c r="D4" s="8"/>
      <c r="E4" s="8"/>
      <c r="F4" s="8"/>
      <c r="G4" s="12"/>
      <c r="H4" s="5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40">
      <c r="A5" s="13" t="s">
        <v>8</v>
      </c>
      <c r="B5" s="8"/>
      <c r="D5" s="5"/>
      <c r="E5" s="5"/>
      <c r="F5" s="5"/>
      <c r="G5" s="14" t="s">
        <v>7</v>
      </c>
      <c r="H5" s="5"/>
      <c r="J5" s="2"/>
      <c r="K5" s="2"/>
      <c r="L5" s="2"/>
      <c r="M5" s="2"/>
      <c r="N5" s="2"/>
      <c r="O5" s="2"/>
      <c r="P5" s="2"/>
      <c r="Q5" s="2"/>
      <c r="R5" s="2"/>
    </row>
    <row r="6" spans="1:40" ht="15.75">
      <c r="A6" s="5" t="s">
        <v>25</v>
      </c>
      <c r="B6" s="4">
        <f>SUM(G10:G41)</f>
        <v>-258.56717697559361</v>
      </c>
      <c r="E6" s="22"/>
      <c r="G6" s="15"/>
      <c r="H6" s="112" t="s">
        <v>26</v>
      </c>
      <c r="I6" s="27">
        <f>NORMSDIST((NORMSINV($B2)-$E$2*I$2)/(1-$E$2^2)^0.5)</f>
        <v>3.3802319529068399E-5</v>
      </c>
      <c r="J6" s="27">
        <f t="shared" ref="J6:AN6" si="0">NORMSDIST((NORMSINV($B2)-$E$2*J$2)/(1-$E$2^2)^0.5)</f>
        <v>4.8275120999308759E-5</v>
      </c>
      <c r="K6" s="27">
        <f t="shared" si="0"/>
        <v>6.4635418049325809E-5</v>
      </c>
      <c r="L6" s="27">
        <f t="shared" si="0"/>
        <v>8.3670277042790391E-5</v>
      </c>
      <c r="M6" s="27">
        <f t="shared" si="0"/>
        <v>1.0596471019833023E-4</v>
      </c>
      <c r="N6" s="27">
        <f t="shared" si="0"/>
        <v>1.3209943345865948E-4</v>
      </c>
      <c r="O6" s="27">
        <f t="shared" si="0"/>
        <v>1.6270313632272892E-4</v>
      </c>
      <c r="P6" s="27">
        <f t="shared" si="0"/>
        <v>1.9847794637911192E-4</v>
      </c>
      <c r="Q6" s="27">
        <f t="shared" si="0"/>
        <v>2.402184651213221E-4</v>
      </c>
      <c r="R6" s="27">
        <f t="shared" si="0"/>
        <v>2.8883005801616041E-4</v>
      </c>
      <c r="S6" s="27">
        <f t="shared" si="0"/>
        <v>3.4534869411513206E-4</v>
      </c>
      <c r="T6" s="27">
        <f t="shared" si="0"/>
        <v>4.1096370978610676E-4</v>
      </c>
      <c r="U6" s="27">
        <f t="shared" si="0"/>
        <v>4.8704468416145113E-4</v>
      </c>
      <c r="V6" s="27">
        <f t="shared" si="0"/>
        <v>5.7517372859456066E-4</v>
      </c>
      <c r="W6" s="27">
        <f t="shared" si="0"/>
        <v>6.771847993110008E-4</v>
      </c>
      <c r="X6" s="27">
        <f t="shared" si="0"/>
        <v>7.952121396246738E-4</v>
      </c>
      <c r="Y6" s="27">
        <f t="shared" si="0"/>
        <v>9.3175070097502278E-4</v>
      </c>
      <c r="Z6" s="27">
        <f t="shared" si="0"/>
        <v>1.0897324918035978E-3</v>
      </c>
      <c r="AA6" s="27">
        <f t="shared" si="0"/>
        <v>1.2726244511256641E-3</v>
      </c>
      <c r="AB6" s="27">
        <f t="shared" si="0"/>
        <v>1.4845559647635774E-3</v>
      </c>
      <c r="AC6" s="27">
        <f t="shared" si="0"/>
        <v>1.7304881017402029E-3</v>
      </c>
      <c r="AD6" s="27">
        <f t="shared" si="0"/>
        <v>2.0164430617091614E-3</v>
      </c>
      <c r="AE6" s="27">
        <f t="shared" si="0"/>
        <v>2.3498230918152108E-3</v>
      </c>
      <c r="AF6" s="27">
        <f t="shared" si="0"/>
        <v>2.7398669839165035E-3</v>
      </c>
      <c r="AG6" s="27">
        <f t="shared" si="0"/>
        <v>3.1983269515559252E-3</v>
      </c>
      <c r="AH6" s="27">
        <f t="shared" si="0"/>
        <v>3.7405164378366018E-3</v>
      </c>
      <c r="AI6" s="27">
        <f t="shared" si="0"/>
        <v>4.3870217934803626E-3</v>
      </c>
      <c r="AJ6" s="27">
        <f t="shared" si="0"/>
        <v>5.1666989787055879E-3</v>
      </c>
      <c r="AK6" s="27">
        <f t="shared" si="0"/>
        <v>6.1224302417245751E-3</v>
      </c>
      <c r="AL6" s="27">
        <f t="shared" si="0"/>
        <v>7.3237401873299281E-3</v>
      </c>
      <c r="AM6" s="27">
        <f t="shared" si="0"/>
        <v>8.900741080366488E-3</v>
      </c>
      <c r="AN6" s="27">
        <f t="shared" si="0"/>
        <v>1.1178096966093844E-2</v>
      </c>
    </row>
    <row r="7" spans="1:40" ht="15.75">
      <c r="A7" s="5"/>
      <c r="B7" s="98" t="s">
        <v>30</v>
      </c>
      <c r="C7" s="10"/>
      <c r="G7" s="15"/>
      <c r="H7" s="112" t="s">
        <v>27</v>
      </c>
      <c r="I7" s="27">
        <f>NORMSDIST((NORMSINV($B3)-$E$3*I$2)/(1-$E$3^2)^0.5)</f>
        <v>9.6099235450387695E-11</v>
      </c>
      <c r="J7" s="27">
        <f t="shared" ref="J7:AN7" si="1">NORMSDIST((NORMSINV($B3)-$E$3*J$2)/(1-$E$3^2)^0.5)</f>
        <v>1.5884308979854497E-9</v>
      </c>
      <c r="K7" s="27">
        <f t="shared" si="1"/>
        <v>1.4208127060411195E-8</v>
      </c>
      <c r="L7" s="27">
        <f t="shared" si="1"/>
        <v>9.076109580238174E-8</v>
      </c>
      <c r="M7" s="27">
        <f t="shared" si="1"/>
        <v>4.6114727562882549E-7</v>
      </c>
      <c r="N7" s="27">
        <f t="shared" si="1"/>
        <v>1.9713872397747974E-6</v>
      </c>
      <c r="O7" s="27">
        <f t="shared" si="1"/>
        <v>7.3364318542184738E-6</v>
      </c>
      <c r="P7" s="27">
        <f t="shared" si="1"/>
        <v>2.4310299305904693E-5</v>
      </c>
      <c r="Q7" s="27">
        <f t="shared" si="1"/>
        <v>7.2880525105012268E-5</v>
      </c>
      <c r="R7" s="27">
        <f t="shared" si="1"/>
        <v>2.0001109569179882E-4</v>
      </c>
      <c r="S7" s="27">
        <f t="shared" si="1"/>
        <v>5.070017145293597E-4</v>
      </c>
      <c r="T7" s="27">
        <f t="shared" si="1"/>
        <v>1.1954167123680616E-3</v>
      </c>
      <c r="U7" s="27">
        <f t="shared" si="1"/>
        <v>2.6363871561014031E-3</v>
      </c>
      <c r="V7" s="27">
        <f t="shared" si="1"/>
        <v>5.4631605645225978E-3</v>
      </c>
      <c r="W7" s="27">
        <f t="shared" si="1"/>
        <v>1.067669028668277E-2</v>
      </c>
      <c r="X7" s="27">
        <f t="shared" si="1"/>
        <v>1.9739066580009488E-2</v>
      </c>
      <c r="Y7" s="27">
        <f t="shared" si="1"/>
        <v>3.4612932826916368E-2</v>
      </c>
      <c r="Z7" s="27">
        <f t="shared" si="1"/>
        <v>5.7693603039843493E-2</v>
      </c>
      <c r="AA7" s="27">
        <f t="shared" si="1"/>
        <v>9.1583882769566194E-2</v>
      </c>
      <c r="AB7" s="27">
        <f t="shared" si="1"/>
        <v>0.13868818327435947</v>
      </c>
      <c r="AC7" s="27">
        <f t="shared" si="1"/>
        <v>0.20065472966018563</v>
      </c>
      <c r="AD7" s="27">
        <f t="shared" si="1"/>
        <v>0.27776338570088949</v>
      </c>
      <c r="AE7" s="27">
        <f t="shared" si="1"/>
        <v>0.36841965983958946</v>
      </c>
      <c r="AF7" s="27">
        <f t="shared" si="1"/>
        <v>0.46894242473303666</v>
      </c>
      <c r="AG7" s="27">
        <f t="shared" si="1"/>
        <v>0.57379708739241975</v>
      </c>
      <c r="AH7" s="27">
        <f t="shared" si="1"/>
        <v>0.67631970130420394</v>
      </c>
      <c r="AI7" s="27">
        <f t="shared" si="1"/>
        <v>0.76982338855203303</v>
      </c>
      <c r="AJ7" s="27">
        <f t="shared" si="1"/>
        <v>0.84882836075806856</v>
      </c>
      <c r="AK7" s="27">
        <f t="shared" si="1"/>
        <v>0.91007507320091907</v>
      </c>
      <c r="AL7" s="27">
        <f t="shared" si="1"/>
        <v>0.95301460161292628</v>
      </c>
      <c r="AM7" s="27">
        <f t="shared" si="1"/>
        <v>0.97962560162851309</v>
      </c>
      <c r="AN7" s="27">
        <f t="shared" si="1"/>
        <v>0.99363684291765986</v>
      </c>
    </row>
    <row r="8" spans="1:40">
      <c r="A8" s="13" t="s">
        <v>9</v>
      </c>
      <c r="B8" s="4"/>
      <c r="C8" s="10"/>
      <c r="I8" s="16"/>
      <c r="J8" s="2"/>
      <c r="K8" s="2"/>
      <c r="L8" s="2"/>
      <c r="M8" s="2"/>
      <c r="N8" s="2"/>
      <c r="O8" s="2"/>
      <c r="P8" s="2"/>
      <c r="Q8" s="2"/>
      <c r="R8" s="2"/>
    </row>
    <row r="9" spans="1:40" ht="15.75">
      <c r="A9" t="s">
        <v>4</v>
      </c>
      <c r="B9" t="s">
        <v>11</v>
      </c>
      <c r="C9" t="s">
        <v>24</v>
      </c>
      <c r="D9" t="s">
        <v>12</v>
      </c>
      <c r="E9" s="3" t="s">
        <v>120</v>
      </c>
      <c r="G9" s="5" t="s">
        <v>13</v>
      </c>
      <c r="I9" s="101" t="s">
        <v>119</v>
      </c>
      <c r="J9" s="2"/>
      <c r="K9" s="2"/>
      <c r="L9" s="2"/>
      <c r="M9" s="2"/>
      <c r="N9" s="2"/>
      <c r="O9" s="2"/>
      <c r="P9" s="2"/>
      <c r="Q9" s="2"/>
      <c r="R9" s="2"/>
      <c r="U9" s="17"/>
      <c r="V9" s="17"/>
      <c r="W9" s="17"/>
      <c r="X9" s="17"/>
      <c r="Y9" s="17"/>
      <c r="Z9" s="17"/>
      <c r="AA9" s="17"/>
      <c r="AB9" s="17"/>
      <c r="AC9" s="17"/>
    </row>
    <row r="10" spans="1:40">
      <c r="A10">
        <v>1987</v>
      </c>
      <c r="B10">
        <v>1335</v>
      </c>
      <c r="C10">
        <v>0</v>
      </c>
      <c r="D10" s="3">
        <v>677</v>
      </c>
      <c r="E10">
        <v>19</v>
      </c>
      <c r="G10" s="18">
        <f>LN(SUMPRODUCT(I10:AN10,I$3:AN$3))</f>
        <v>-5.4653053365719657</v>
      </c>
      <c r="H10" s="7"/>
      <c r="I10" s="102">
        <f>EXP(lncombin($B10,$C10)+LN(I$6)*$C10+LN(1-I$6)*($B10-$C10)+lncombin($D10,$E10)+LN(I$7)*$E10+LN(1-I$7)*($D10-$E10))</f>
        <v>1.7276712752346866E-154</v>
      </c>
      <c r="J10" s="102">
        <f>EXP(lncombin($B10,$C10)+LN(J$6)*$C10+LN(1-J$6)*($B10-$C10)+lncombin($D10,$E10)+LN(J$7)*$E10+LN(1-J$7)*($D10-$E10))</f>
        <v>2.3756843573418045E-131</v>
      </c>
      <c r="K10" s="102">
        <f>EXP(lncombin($B10,$C10)+LN(K$6)*$C10+LN(1-K$6)*($B10-$C10)+lncombin($D10,$E10)+LN(K$7)*$E10+LN(1-K$7)*($D10-$E10))</f>
        <v>2.7931919696666236E-113</v>
      </c>
      <c r="L10" s="102">
        <f>EXP(lncombin($B10,$C10)+LN(L$6)*$C10+LN(1-L$6)*($B10-$C10)+lncombin($D10,$E10)+LN(L$7)*$E10+LN(1-L$7)*($D10-$E10))</f>
        <v>5.4567878577959011E-98</v>
      </c>
      <c r="M10" s="102">
        <f>EXP(lncombin($B10,$C10)+LN(M$6)*$C10+LN(1-M$6)*($B10-$C10)+lncombin($D10,$E10)+LN(M$7)*$E10+LN(1-M$7)*($D10-$E10))</f>
        <v>1.3701322191907393E-84</v>
      </c>
      <c r="N10" s="102">
        <f>EXP(lncombin($B10,$C10)+LN(N$6)*$C10+LN(1-N$6)*($B10-$C10)+lncombin($D10,$E10)+LN(N$7)*$E10+LN(1-N$7)*($D10-$E10))</f>
        <v>1.2849617865530748E-72</v>
      </c>
      <c r="O10" s="102">
        <f>EXP(lncombin($B10,$C10)+LN(O$6)*$C10+LN(1-O$6)*($B10-$C10)+lncombin($D10,$E10)+LN(O$7)*$E10+LN(1-O$7)*($D10-$E10))</f>
        <v>8.5734756766047426E-62</v>
      </c>
      <c r="P10" s="102">
        <f>EXP(lncombin($B10,$C10)+LN(P$6)*$C10+LN(1-P$6)*($B10-$C10)+lncombin($D10,$E10)+LN(P$7)*$E10+LN(1-P$7)*($D10-$E10))</f>
        <v>6.2138942354901477E-52</v>
      </c>
      <c r="Q10" s="102">
        <f>EXP(lncombin($B10,$C10)+LN(Q$6)*$C10+LN(1-Q$6)*($B10-$C10)+lncombin($D10,$E10)+LN(Q$7)*$E10+LN(1-Q$7)*($D10-$E10))</f>
        <v>6.5295052177671908E-43</v>
      </c>
      <c r="R10" s="102">
        <f>EXP(lncombin($B10,$C10)+LN(R$6)*$C10+LN(1-R$6)*($B10-$C10)+lncombin($D10,$E10)+LN(R$7)*$E10+LN(1-R$7)*($D10-$E10))</f>
        <v>1.2043797186581034E-34</v>
      </c>
      <c r="S10" s="102">
        <f>EXP(lncombin($B10,$C10)+LN(S$6)*$C10+LN(1-S$6)*($B10-$C10)+lncombin($D10,$E10)+LN(S$7)*$E10+LN(1-S$7)*($D10-$E10))</f>
        <v>4.3189432217807084E-27</v>
      </c>
      <c r="T10" s="102">
        <f>EXP(lncombin($B10,$C10)+LN(T$6)*$C10+LN(1-T$6)*($B10-$C10)+lncombin($D10,$E10)+LN(T$7)*$E10+LN(1-T$7)*($D10-$E10))</f>
        <v>3.0068764618979074E-20</v>
      </c>
      <c r="U10" s="102">
        <f>EXP(lncombin($B10,$C10)+LN(U$6)*$C10+LN(1-U$6)*($B10-$C10)+lncombin($D10,$E10)+LN(U$7)*$E10+LN(1-U$7)*($D10-$E10))</f>
        <v>3.529573081334091E-14</v>
      </c>
      <c r="V10" s="102">
        <f>EXP(lncombin($B10,$C10)+LN(V$6)*$C10+LN(1-V$6)*($B10-$C10)+lncombin($D10,$E10)+LN(V$7)*$E10+LN(1-V$7)*($D10-$E10))</f>
        <v>4.9863155263060628E-9</v>
      </c>
      <c r="W10" s="102">
        <f>EXP(lncombin($B10,$C10)+LN(W$6)*$C10+LN(1-W$6)*($B10-$C10)+lncombin($D10,$E10)+LN(W$7)*$E10+LN(1-W$7)*($D10-$E10))</f>
        <v>4.6289954281445853E-5</v>
      </c>
      <c r="X10" s="102">
        <f>EXP(lncombin($B10,$C10)+LN(X$6)*$C10+LN(1-X$6)*($B10-$C10)+lncombin($D10,$E10)+LN(X$7)*$E10+LN(1-X$7)*($D10-$E10))</f>
        <v>1.091912064313225E-2</v>
      </c>
      <c r="Y10" s="102">
        <f>EXP(lncombin($B10,$C10)+LN(Y$6)*$C10+LN(1-Y$6)*($B10-$C10)+lncombin($D10,$E10)+LN(Y$7)*$E10+LN(1-Y$7)*($D10-$E10))</f>
        <v>1.6750073564139815E-2</v>
      </c>
      <c r="Z10" s="102">
        <f>EXP(lncombin($B10,$C10)+LN(Z$6)*$C10+LN(1-Z$6)*($B10-$C10)+lncombin($D10,$E10)+LN(Z$7)*$E10+LN(1-Z$7)*($D10-$E10))</f>
        <v>2.7106974360364521E-5</v>
      </c>
      <c r="AA10" s="102">
        <f>EXP(lncombin($B10,$C10)+LN(AA$6)*$C10+LN(1-AA$6)*($B10-$C10)+lncombin($D10,$E10)+LN(AA$7)*$E10+LN(1-AA$7)*($D10-$E10))</f>
        <v>4.7102657332765719E-12</v>
      </c>
      <c r="AB10" s="102">
        <f>EXP(lncombin($B10,$C10)+LN(AB$6)*$C10+LN(1-AB$6)*($B10-$C10)+lncombin($D10,$E10)+LN(AB$7)*$E10+LN(1-AB$7)*($D10-$E10))</f>
        <v>5.7321467782669241E-24</v>
      </c>
      <c r="AC10" s="102">
        <f>EXP(lncombin($B10,$C10)+LN(AC$6)*$C10+LN(1-AC$6)*($B10-$C10)+lncombin($D10,$E10)+LN(AC$7)*$E10+LN(1-AC$7)*($D10-$E10))</f>
        <v>2.1231662126726656E-42</v>
      </c>
      <c r="AD10" s="102">
        <f>EXP(lncombin($B10,$C10)+LN(AD$6)*$C10+LN(1-AD$6)*($B10-$C10)+lncombin($D10,$E10)+LN(AD$7)*$E10+LN(1-AD$7)*($D10-$E10))</f>
        <v>7.1785666748453574E-69</v>
      </c>
      <c r="AE10" s="102">
        <f>EXP(lncombin($B10,$C10)+LN(AE$6)*$C10+LN(1-AE$6)*($B10-$C10)+lncombin($D10,$E10)+LN(AE$7)*$E10+LN(1-AE$7)*($D10-$E10))</f>
        <v>4.6123640828252733E-105</v>
      </c>
      <c r="AF10" s="102">
        <f>EXP(lncombin($B10,$C10)+LN(AF$6)*$C10+LN(1-AF$6)*($B10-$C10)+lncombin($D10,$E10)+LN(AF$7)*$E10+LN(1-AF$7)*($D10-$E10))</f>
        <v>7.7467780430351178E-153</v>
      </c>
      <c r="AG10" s="102">
        <f>EXP(lncombin($B10,$C10)+LN(AG$6)*$C10+LN(1-AG$6)*($B10-$C10)+lncombin($D10,$E10)+LN(AG$7)*$E10+LN(1-AG$7)*($D10-$E10))</f>
        <v>2.704465328029737E-214</v>
      </c>
      <c r="AH10" s="102">
        <f>EXP(lncombin($B10,$C10)+LN(AH$6)*$C10+LN(1-AH$6)*($B10-$C10)+lncombin($D10,$E10)+LN(AH$7)*$E10+LN(1-AH$7)*($D10-$E10))</f>
        <v>6.950533988236225E-292</v>
      </c>
      <c r="AI10" s="102">
        <f>EXP(lncombin($B10,$C10)+LN(AI$6)*$C10+LN(1-AI$6)*($B10-$C10)+lncombin($D10,$E10)+LN(AI$7)*$E10+LN(1-AI$7)*($D10-$E10))</f>
        <v>0</v>
      </c>
      <c r="AJ10" s="102">
        <f>EXP(lncombin($B10,$C10)+LN(AJ$6)*$C10+LN(1-AJ$6)*($B10-$C10)+lncombin($D10,$E10)+LN(AJ$7)*$E10+LN(1-AJ$7)*($D10-$E10))</f>
        <v>0</v>
      </c>
      <c r="AK10" s="102">
        <f>EXP(lncombin($B10,$C10)+LN(AK$6)*$C10+LN(1-AK$6)*($B10-$C10)+lncombin($D10,$E10)+LN(AK$7)*$E10+LN(1-AK$7)*($D10-$E10))</f>
        <v>0</v>
      </c>
      <c r="AL10" s="102">
        <f>EXP(lncombin($B10,$C10)+LN(AL$6)*$C10+LN(1-AL$6)*($B10-$C10)+lncombin($D10,$E10)+LN(AL$7)*$E10+LN(1-AL$7)*($D10-$E10))</f>
        <v>0</v>
      </c>
      <c r="AM10" s="102">
        <f>EXP(lncombin($B10,$C10)+LN(AM$6)*$C10+LN(1-AM$6)*($B10-$C10)+lncombin($D10,$E10)+LN(AM$7)*$E10+LN(1-AM$7)*($D10-$E10))</f>
        <v>0</v>
      </c>
      <c r="AN10" s="102">
        <f>EXP(lncombin($B10,$C10)+LN(AN$6)*$C10+LN(1-AN$6)*($B10-$C10)+lncombin($D10,$E10)+LN(AN$7)*$E10+LN(1-AN$7)*($D10-$E10))</f>
        <v>0</v>
      </c>
    </row>
    <row r="11" spans="1:40">
      <c r="A11">
        <v>1988</v>
      </c>
      <c r="B11">
        <v>1349</v>
      </c>
      <c r="C11">
        <v>0</v>
      </c>
      <c r="D11" s="3">
        <v>752</v>
      </c>
      <c r="E11">
        <v>29</v>
      </c>
      <c r="G11" s="18">
        <f t="shared" ref="G11:G38" si="2">LN(SUMPRODUCT(I11:AN11,I$3:AN$3))</f>
        <v>-5.84027738136853</v>
      </c>
      <c r="H11" s="7"/>
      <c r="I11" s="102">
        <f>EXP(lncombin($B11,$C11)+LN(I$6)*$C11+LN(1-I$6)*($B11-$C11)+lncombin($D11,$E11)+LN(I$7)*$E11+LN(1-I$7)*($D11-$E11))</f>
        <v>5.0741157220701477E-239</v>
      </c>
      <c r="J11" s="102">
        <f>EXP(lncombin($B11,$C11)+LN(J$6)*$C11+LN(1-J$6)*($B11-$C11)+lncombin($D11,$E11)+LN(J$7)*$E11+LN(1-J$7)*($D11-$E11))</f>
        <v>1.0619006561886314E-203</v>
      </c>
      <c r="K11" s="102">
        <f>EXP(lncombin($B11,$C11)+LN(K$6)*$C11+LN(1-K$6)*($B11-$C11)+lncombin($D11,$E11)+LN(K$7)*$E11+LN(1-K$7)*($D11-$E11))</f>
        <v>4.0924290681629225E-176</v>
      </c>
      <c r="L11" s="102">
        <f>EXP(lncombin($B11,$C11)+LN(L$6)*$C11+LN(1-L$6)*($B11-$C11)+lncombin($D11,$E11)+LN(L$7)*$E11+LN(1-L$7)*($D11-$E11))</f>
        <v>9.0433330731482736E-153</v>
      </c>
      <c r="M11" s="102">
        <f>EXP(lncombin($B11,$C11)+LN(M$6)*$C11+LN(1-M$6)*($B11-$C11)+lncombin($D11,$E11)+LN(M$7)*$E11+LN(1-M$7)*($D11-$E11))</f>
        <v>2.6025979275487346E-132</v>
      </c>
      <c r="N11" s="102">
        <f>EXP(lncombin($B11,$C11)+LN(N$6)*$C11+LN(1-N$6)*($B11-$C11)+lncombin($D11,$E11)+LN(N$7)*$E11+LN(1-N$7)*($D11-$E11))</f>
        <v>4.9734321562863331E-114</v>
      </c>
      <c r="O11" s="102">
        <f>EXP(lncombin($B11,$C11)+LN(O$6)*$C11+LN(1-O$6)*($B11-$C11)+lncombin($D11,$E11)+LN(O$7)*$E11+LN(1-O$7)*($D11-$E11))</f>
        <v>1.6893312650470476E-97</v>
      </c>
      <c r="P11" s="102">
        <f>EXP(lncombin($B11,$C11)+LN(P$6)*$C11+LN(1-P$6)*($B11-$C11)+lncombin($D11,$E11)+LN(P$7)*$E11+LN(1-P$7)*($D11-$E11))</f>
        <v>1.9510985978979956E-82</v>
      </c>
      <c r="Q11" s="102">
        <f>EXP(lncombin($B11,$C11)+LN(Q$6)*$C11+LN(1-Q$6)*($B11-$C11)+lncombin($D11,$E11)+LN(Q$7)*$E11+LN(1-Q$7)*($D11-$E11))</f>
        <v>1.1977950103078867E-68</v>
      </c>
      <c r="R11" s="102">
        <f>EXP(lncombin($B11,$C11)+LN(R$6)*$C11+LN(1-R$6)*($B11-$C11)+lncombin($D11,$E11)+LN(R$7)*$E11+LN(1-R$7)*($D11-$E11))</f>
        <v>5.30648205289145E-56</v>
      </c>
      <c r="S11" s="102">
        <f>EXP(lncombin($B11,$C11)+LN(S$6)*$C11+LN(1-S$6)*($B11-$C11)+lncombin($D11,$E11)+LN(S$7)*$E11+LN(1-S$7)*($D11-$E11))</f>
        <v>2.0415558042551538E-44</v>
      </c>
      <c r="T11" s="102">
        <f>EXP(lncombin($B11,$C11)+LN(T$6)*$C11+LN(1-T$6)*($B11-$C11)+lncombin($D11,$E11)+LN(T$7)*$E11+LN(1-T$7)*($D11-$E11))</f>
        <v>7.2102326538523023E-34</v>
      </c>
      <c r="U11" s="102">
        <f>EXP(lncombin($B11,$C11)+LN(U$6)*$C11+LN(1-U$6)*($B11-$C11)+lncombin($D11,$E11)+LN(U$7)*$E11+LN(1-U$7)*($D11-$E11))</f>
        <v>2.0952520478919566E-24</v>
      </c>
      <c r="V11" s="102">
        <f>EXP(lncombin($B11,$C11)+LN(V$6)*$C11+LN(1-V$6)*($B11-$C11)+lncombin($D11,$E11)+LN(V$7)*$E11+LN(1-V$7)*($D11-$E11))</f>
        <v>3.5890837490030518E-16</v>
      </c>
      <c r="W11" s="102">
        <f>EXP(lncombin($B11,$C11)+LN(W$6)*$C11+LN(1-W$6)*($B11-$C11)+lncombin($D11,$E11)+LN(W$7)*$E11+LN(1-W$7)*($D11-$E11))</f>
        <v>1.9214346067218672E-9</v>
      </c>
      <c r="X11" s="102">
        <f>EXP(lncombin($B11,$C11)+LN(X$6)*$C11+LN(1-X$6)*($B11-$C11)+lncombin($D11,$E11)+LN(X$7)*$E11+LN(1-X$7)*($D11-$E11))</f>
        <v>1.1607334556629818E-4</v>
      </c>
      <c r="Y11" s="102">
        <f>EXP(lncombin($B11,$C11)+LN(Y$6)*$C11+LN(1-Y$6)*($B11-$C11)+lncombin($D11,$E11)+LN(Y$7)*$E11+LN(1-Y$7)*($D11-$E11))</f>
        <v>1.8081495379073106E-2</v>
      </c>
      <c r="Z11" s="102">
        <f>EXP(lncombin($B11,$C11)+LN(Z$6)*$C11+LN(1-Z$6)*($B11-$C11)+lncombin($D11,$E11)+LN(Z$7)*$E11+LN(1-Z$7)*($D11-$E11))</f>
        <v>1.0025888355429029E-3</v>
      </c>
      <c r="AA11" s="102">
        <f>EXP(lncombin($B11,$C11)+LN(AA$6)*$C11+LN(1-AA$6)*($B11-$C11)+lncombin($D11,$E11)+LN(AA$7)*$E11+LN(1-AA$7)*($D11-$E11))</f>
        <v>1.6327239183166995E-9</v>
      </c>
      <c r="AB11" s="102">
        <f>EXP(lncombin($B11,$C11)+LN(AB$6)*$C11+LN(1-AB$6)*($B11-$C11)+lncombin($D11,$E11)+LN(AB$7)*$E11+LN(1-AB$7)*($D11-$E11))</f>
        <v>3.9446704249458744E-21</v>
      </c>
      <c r="AC11" s="102">
        <f>EXP(lncombin($B11,$C11)+LN(AC$6)*$C11+LN(1-AC$6)*($B11-$C11)+lncombin($D11,$E11)+LN(AC$7)*$E11+LN(1-AC$7)*($D11-$E11))</f>
        <v>4.5665623719913156E-40</v>
      </c>
      <c r="AD11" s="102">
        <f>EXP(lncombin($B11,$C11)+LN(AD$6)*$C11+LN(1-AD$6)*($B11-$C11)+lncombin($D11,$E11)+LN(AD$7)*$E11+LN(1-AD$7)*($D11-$E11))</f>
        <v>5.4398655836161883E-68</v>
      </c>
      <c r="AE11" s="102">
        <f>EXP(lncombin($B11,$C11)+LN(AE$6)*$C11+LN(1-AE$6)*($B11-$C11)+lncombin($D11,$E11)+LN(AE$7)*$E11+LN(1-AE$7)*($D11-$E11))</f>
        <v>9.5898578676621249E-107</v>
      </c>
      <c r="AF11" s="102">
        <f>EXP(lncombin($B11,$C11)+LN(AF$6)*$C11+LN(1-AF$6)*($B11-$C11)+lncombin($D11,$E11)+LN(AF$7)*$E11+LN(1-AF$7)*($D11-$E11))</f>
        <v>2.2842559308978121E-158</v>
      </c>
      <c r="AG11" s="102">
        <f>EXP(lncombin($B11,$C11)+LN(AG$6)*$C11+LN(1-AG$6)*($B11-$C11)+lncombin($D11,$E11)+LN(AG$7)*$E11+LN(1-AG$7)*($D11-$E11))</f>
        <v>3.6826441049296832E-225</v>
      </c>
      <c r="AH11" s="102">
        <f>EXP(lncombin($B11,$C11)+LN(AH$6)*$C11+LN(1-AH$6)*($B11-$C11)+lncombin($D11,$E11)+LN(AH$7)*$E11+LN(1-AH$7)*($D11-$E11))</f>
        <v>0</v>
      </c>
      <c r="AI11" s="102">
        <f>EXP(lncombin($B11,$C11)+LN(AI$6)*$C11+LN(1-AI$6)*($B11-$C11)+lncombin($D11,$E11)+LN(AI$7)*$E11+LN(1-AI$7)*($D11-$E11))</f>
        <v>0</v>
      </c>
      <c r="AJ11" s="102">
        <f>EXP(lncombin($B11,$C11)+LN(AJ$6)*$C11+LN(1-AJ$6)*($B11-$C11)+lncombin($D11,$E11)+LN(AJ$7)*$E11+LN(1-AJ$7)*($D11-$E11))</f>
        <v>0</v>
      </c>
      <c r="AK11" s="102">
        <f>EXP(lncombin($B11,$C11)+LN(AK$6)*$C11+LN(1-AK$6)*($B11-$C11)+lncombin($D11,$E11)+LN(AK$7)*$E11+LN(1-AK$7)*($D11-$E11))</f>
        <v>0</v>
      </c>
      <c r="AL11" s="102">
        <f>EXP(lncombin($B11,$C11)+LN(AL$6)*$C11+LN(1-AL$6)*($B11-$C11)+lncombin($D11,$E11)+LN(AL$7)*$E11+LN(1-AL$7)*($D11-$E11))</f>
        <v>0</v>
      </c>
      <c r="AM11" s="102">
        <f>EXP(lncombin($B11,$C11)+LN(AM$6)*$C11+LN(1-AM$6)*($B11-$C11)+lncombin($D11,$E11)+LN(AM$7)*$E11+LN(1-AM$7)*($D11-$E11))</f>
        <v>0</v>
      </c>
      <c r="AN11" s="102">
        <f>EXP(lncombin($B11,$C11)+LN(AN$6)*$C11+LN(1-AN$6)*($B11-$C11)+lncombin($D11,$E11)+LN(AN$7)*$E11+LN(1-AN$7)*($D11-$E11))</f>
        <v>0</v>
      </c>
    </row>
    <row r="12" spans="1:40">
      <c r="A12">
        <v>1989</v>
      </c>
      <c r="B12">
        <v>1392</v>
      </c>
      <c r="C12">
        <v>3</v>
      </c>
      <c r="D12" s="3">
        <v>748</v>
      </c>
      <c r="E12">
        <v>35</v>
      </c>
      <c r="G12" s="18">
        <f t="shared" si="2"/>
        <v>-7.2407844350540422</v>
      </c>
      <c r="H12" s="7"/>
      <c r="I12" s="102">
        <f>EXP(lncombin($B12,$C12)+LN(I$6)*$C12+LN(1-I$6)*($B12-$C12)+lncombin($D12,$E12)+LN(I$7)*$E12+LN(1-I$7)*($D12-$E12))</f>
        <v>6.8375498490669213E-296</v>
      </c>
      <c r="J12" s="102">
        <f>EXP(lncombin($B12,$C12)+LN(J$6)*$C12+LN(1-J$6)*($B12-$C12)+lncombin($D12,$E12)+LN(J$7)*$E12+LN(1-J$7)*($D12-$E12))</f>
        <v>8.4955905368134818E-253</v>
      </c>
      <c r="K12" s="102">
        <f>EXP(lncombin($B12,$C12)+LN(K$6)*$C12+LN(1-K$6)*($B12-$C12)+lncombin($D12,$E12)+LN(K$7)*$E12+LN(1-K$7)*($D12-$E12))</f>
        <v>4.0221594591367933E-219</v>
      </c>
      <c r="L12" s="102">
        <f>EXP(lncombin($B12,$C12)+LN(L$6)*$C12+LN(1-L$6)*($B12-$C12)+lncombin($D12,$E12)+LN(L$7)*$E12+LN(1-L$7)*($D12-$E12))</f>
        <v>1.3090481279360772E-190</v>
      </c>
      <c r="M12" s="102">
        <f>EXP(lncombin($B12,$C12)+LN(M$6)*$C12+LN(1-M$6)*($B12-$C12)+lncombin($D12,$E12)+LN(M$7)*$E12+LN(1-M$7)*($D12-$E12))</f>
        <v>1.3154007569176102E-165</v>
      </c>
      <c r="N12" s="102">
        <f>EXP(lncombin($B12,$C12)+LN(N$6)*$C12+LN(1-N$6)*($B12-$C12)+lncombin($D12,$E12)+LN(N$7)*$E12+LN(1-N$7)*($D12-$E12))</f>
        <v>2.9694264212055817E-143</v>
      </c>
      <c r="O12" s="102">
        <f>EXP(lncombin($B12,$C12)+LN(O$6)*$C12+LN(1-O$6)*($B12-$C12)+lncombin($D12,$E12)+LN(O$7)*$E12+LN(1-O$7)*($D12-$E12))</f>
        <v>5.0001767952305818E-123</v>
      </c>
      <c r="P12" s="102">
        <f>EXP(lncombin($B12,$C12)+LN(P$6)*$C12+LN(1-P$6)*($B12-$C12)+lncombin($D12,$E12)+LN(P$7)*$E12+LN(1-P$7)*($D12-$E12))</f>
        <v>1.3860643641940906E-104</v>
      </c>
      <c r="Q12" s="102">
        <f>EXP(lncombin($B12,$C12)+LN(Q$6)*$C12+LN(1-Q$6)*($B12-$C12)+lncombin($D12,$E12)+LN(Q$7)*$E12+LN(1-Q$7)*($D12-$E12))</f>
        <v>1.0939107138140278E-87</v>
      </c>
      <c r="R12" s="102">
        <f>EXP(lncombin($B12,$C12)+LN(R$6)*$C12+LN(1-R$6)*($B12-$C12)+lncombin($D12,$E12)+LN(R$7)*$E12+LN(1-R$7)*($D12-$E12))</f>
        <v>3.5964758952400602E-72</v>
      </c>
      <c r="S12" s="102">
        <f>EXP(lncombin($B12,$C12)+LN(S$6)*$C12+LN(1-S$6)*($B12-$C12)+lncombin($D12,$E12)+LN(S$7)*$E12+LN(1-S$7)*($D12-$E12))</f>
        <v>6.2800284284377481E-58</v>
      </c>
      <c r="T12" s="102">
        <f>EXP(lncombin($B12,$C12)+LN(T$6)*$C12+LN(1-T$6)*($B12-$C12)+lncombin($D12,$E12)+LN(T$7)*$E12+LN(1-T$7)*($D12-$E12))</f>
        <v>6.4490832508253891E-45</v>
      </c>
      <c r="U12" s="102">
        <f>EXP(lncombin($B12,$C12)+LN(U$6)*$C12+LN(1-U$6)*($B12-$C12)+lncombin($D12,$E12)+LN(U$7)*$E12+LN(1-U$7)*($D12-$E12))</f>
        <v>3.6305128633036479E-33</v>
      </c>
      <c r="V12" s="102">
        <f>EXP(lncombin($B12,$C12)+LN(V$6)*$C12+LN(1-V$6)*($B12-$C12)+lncombin($D12,$E12)+LN(V$7)*$E12+LN(1-V$7)*($D12-$E12))</f>
        <v>8.3139870068975857E-23</v>
      </c>
      <c r="W12" s="102">
        <f>EXP(lncombin($B12,$C12)+LN(W$6)*$C12+LN(1-W$6)*($B12-$C12)+lncombin($D12,$E12)+LN(W$7)*$E12+LN(1-W$7)*($D12-$E12))</f>
        <v>4.2480050388736533E-14</v>
      </c>
      <c r="X12" s="102">
        <f>EXP(lncombin($B12,$C12)+LN(X$6)*$C12+LN(1-X$6)*($B12-$C12)+lncombin($D12,$E12)+LN(X$7)*$E12+LN(1-X$7)*($D12-$E12))</f>
        <v>1.8108093721014113E-7</v>
      </c>
      <c r="Y12" s="102">
        <f>EXP(lncombin($B12,$C12)+LN(Y$6)*$C12+LN(1-Y$6)*($B12-$C12)+lncombin($D12,$E12)+LN(Y$7)*$E12+LN(1-Y$7)*($D12-$E12))</f>
        <v>1.5287050460526229E-3</v>
      </c>
      <c r="Z12" s="102">
        <f>EXP(lncombin($B12,$C12)+LN(Z$6)*$C12+LN(1-Z$6)*($B12-$C12)+lncombin($D12,$E12)+LN(Z$7)*$E12+LN(1-Z$7)*($D12-$E12))</f>
        <v>3.6809038994990704E-3</v>
      </c>
      <c r="AA12" s="102">
        <f>EXP(lncombin($B12,$C12)+LN(AA$6)*$C12+LN(1-AA$6)*($B12-$C12)+lncombin($D12,$E12)+LN(AA$7)*$E12+LN(1-AA$7)*($D12-$E12))</f>
        <v>2.1873887098591307E-7</v>
      </c>
      <c r="AB12" s="102">
        <f>EXP(lncombin($B12,$C12)+LN(AB$6)*$C12+LN(1-AB$6)*($B12-$C12)+lncombin($D12,$E12)+LN(AB$7)*$E12+LN(1-AB$7)*($D12-$E12))</f>
        <v>1.7084129579933528E-17</v>
      </c>
      <c r="AC12" s="102">
        <f>EXP(lncombin($B12,$C12)+LN(AC$6)*$C12+LN(1-AC$6)*($B12-$C12)+lncombin($D12,$E12)+LN(AC$7)*$E12+LN(1-AC$7)*($D12-$E12))</f>
        <v>6.0024438869300021E-35</v>
      </c>
      <c r="AD12" s="102">
        <f>EXP(lncombin($B12,$C12)+LN(AD$6)*$C12+LN(1-AD$6)*($B12-$C12)+lncombin($D12,$E12)+LN(AD$7)*$E12+LN(1-AD$7)*($D12-$E12))</f>
        <v>2.1702247335622219E-61</v>
      </c>
      <c r="AE12" s="102">
        <f>EXP(lncombin($B12,$C12)+LN(AE$6)*$C12+LN(1-AE$6)*($B12-$C12)+lncombin($D12,$E12)+LN(AE$7)*$E12+LN(1-AE$7)*($D12-$E12))</f>
        <v>1.2439073505275374E-98</v>
      </c>
      <c r="AF12" s="102">
        <f>EXP(lncombin($B12,$C12)+LN(AF$6)*$C12+LN(1-AF$6)*($B12-$C12)+lncombin($D12,$E12)+LN(AF$7)*$E12+LN(1-AF$7)*($D12-$E12))</f>
        <v>1.1131170297710847E-148</v>
      </c>
      <c r="AG12" s="102">
        <f>EXP(lncombin($B12,$C12)+LN(AG$6)*$C12+LN(1-AG$6)*($B12-$C12)+lncombin($D12,$E12)+LN(AG$7)*$E12+LN(1-AG$7)*($D12-$E12))</f>
        <v>8.4846280289367968E-214</v>
      </c>
      <c r="AH12" s="102">
        <f>EXP(lncombin($B12,$C12)+LN(AH$6)*$C12+LN(1-AH$6)*($B12-$C12)+lncombin($D12,$E12)+LN(AH$7)*$E12+LN(1-AH$7)*($D12-$E12))</f>
        <v>1.2578450483039491E-296</v>
      </c>
      <c r="AI12" s="102">
        <f>EXP(lncombin($B12,$C12)+LN(AI$6)*$C12+LN(1-AI$6)*($B12-$C12)+lncombin($D12,$E12)+LN(AI$7)*$E12+LN(1-AI$7)*($D12-$E12))</f>
        <v>0</v>
      </c>
      <c r="AJ12" s="102">
        <f>EXP(lncombin($B12,$C12)+LN(AJ$6)*$C12+LN(1-AJ$6)*($B12-$C12)+lncombin($D12,$E12)+LN(AJ$7)*$E12+LN(1-AJ$7)*($D12-$E12))</f>
        <v>0</v>
      </c>
      <c r="AK12" s="102">
        <f>EXP(lncombin($B12,$C12)+LN(AK$6)*$C12+LN(1-AK$6)*($B12-$C12)+lncombin($D12,$E12)+LN(AK$7)*$E12+LN(1-AK$7)*($D12-$E12))</f>
        <v>0</v>
      </c>
      <c r="AL12" s="102">
        <f>EXP(lncombin($B12,$C12)+LN(AL$6)*$C12+LN(1-AL$6)*($B12-$C12)+lncombin($D12,$E12)+LN(AL$7)*$E12+LN(1-AL$7)*($D12-$E12))</f>
        <v>0</v>
      </c>
      <c r="AM12" s="102">
        <f>EXP(lncombin($B12,$C12)+LN(AM$6)*$C12+LN(1-AM$6)*($B12-$C12)+lncombin($D12,$E12)+LN(AM$7)*$E12+LN(1-AM$7)*($D12-$E12))</f>
        <v>0</v>
      </c>
      <c r="AN12" s="102">
        <f>EXP(lncombin($B12,$C12)+LN(AN$6)*$C12+LN(1-AN$6)*($B12-$C12)+lncombin($D12,$E12)+LN(AN$7)*$E12+LN(1-AN$7)*($D12-$E12))</f>
        <v>0</v>
      </c>
    </row>
    <row r="13" spans="1:40">
      <c r="A13">
        <v>1990</v>
      </c>
      <c r="B13">
        <v>1435</v>
      </c>
      <c r="C13">
        <v>2</v>
      </c>
      <c r="D13" s="3">
        <v>690</v>
      </c>
      <c r="E13">
        <v>56</v>
      </c>
      <c r="G13" s="18">
        <f t="shared" si="2"/>
        <v>-6.9161800801462903</v>
      </c>
      <c r="H13" s="7"/>
      <c r="I13" s="102">
        <f>EXP(lncombin($B13,$C13)+LN(I$6)*$C13+LN(1-I$6)*($B13-$C13)+lncombin($D13,$E13)+LN(I$7)*$E13+LN(1-I$7)*($D13-$E13))</f>
        <v>0</v>
      </c>
      <c r="J13" s="102">
        <f>EXP(lncombin($B13,$C13)+LN(J$6)*$C13+LN(1-J$6)*($B13-$C13)+lncombin($D13,$E13)+LN(J$7)*$E13+LN(1-J$7)*($D13-$E13))</f>
        <v>0</v>
      </c>
      <c r="K13" s="102">
        <f>EXP(lncombin($B13,$C13)+LN(K$6)*$C13+LN(1-K$6)*($B13-$C13)+lncombin($D13,$E13)+LN(K$7)*$E13+LN(1-K$7)*($D13-$E13))</f>
        <v>0</v>
      </c>
      <c r="L13" s="102">
        <f>EXP(lncombin($B13,$C13)+LN(L$6)*$C13+LN(1-L$6)*($B13-$C13)+lncombin($D13,$E13)+LN(L$7)*$E13+LN(1-L$7)*($D13-$E13))</f>
        <v>0</v>
      </c>
      <c r="M13" s="102">
        <f>EXP(lncombin($B13,$C13)+LN(M$6)*$C13+LN(1-M$6)*($B13-$C13)+lncombin($D13,$E13)+LN(M$7)*$E13+LN(1-M$7)*($D13-$E13))</f>
        <v>1.9903777774004606E-274</v>
      </c>
      <c r="N13" s="102">
        <f>EXP(lncombin($B13,$C13)+LN(N$6)*$C13+LN(1-N$6)*($B13-$C13)+lncombin($D13,$E13)+LN(N$7)*$E13+LN(1-N$7)*($D13-$E13))</f>
        <v>6.3964766008651806E-239</v>
      </c>
      <c r="O13" s="102">
        <f>EXP(lncombin($B13,$C13)+LN(O$6)*$C13+LN(1-O$6)*($B13-$C13)+lncombin($D13,$E13)+LN(O$7)*$E13+LN(1-O$7)*($D13-$E13))</f>
        <v>8.43975227223804E-207</v>
      </c>
      <c r="P13" s="102">
        <f>EXP(lncombin($B13,$C13)+LN(P$6)*$C13+LN(1-P$6)*($B13-$C13)+lncombin($D13,$E13)+LN(P$7)*$E13+LN(1-P$7)*($D13-$E13))</f>
        <v>1.6185413865348453E-177</v>
      </c>
      <c r="Q13" s="102">
        <f>EXP(lncombin($B13,$C13)+LN(Q$6)*$C13+LN(1-Q$6)*($B13-$C13)+lncombin($D13,$E13)+LN(Q$7)*$E13+LN(1-Q$7)*($D13-$E13))</f>
        <v>1.0902893881569276E-150</v>
      </c>
      <c r="R13" s="102">
        <f>EXP(lncombin($B13,$C13)+LN(R$6)*$C13+LN(1-R$6)*($B13-$C13)+lncombin($D13,$E13)+LN(R$7)*$E13+LN(1-R$7)*($D13-$E13))</f>
        <v>4.8431594382695793E-126</v>
      </c>
      <c r="S13" s="102">
        <f>EXP(lncombin($B13,$C13)+LN(S$6)*$C13+LN(1-S$6)*($B13-$C13)+lncombin($D13,$E13)+LN(S$7)*$E13+LN(1-S$7)*($D13-$E13))</f>
        <v>2.198446507836669E-103</v>
      </c>
      <c r="T13" s="102">
        <f>EXP(lncombin($B13,$C13)+LN(T$6)*$C13+LN(1-T$6)*($B13-$C13)+lncombin($D13,$E13)+LN(T$7)*$E13+LN(1-T$7)*($D13-$E13))</f>
        <v>1.3280035788827292E-82</v>
      </c>
      <c r="U13" s="102">
        <f>EXP(lncombin($B13,$C13)+LN(U$6)*$C13+LN(1-U$6)*($B13-$C13)+lncombin($D13,$E13)+LN(U$7)*$E13+LN(1-U$7)*($D13-$E13))</f>
        <v>1.1515163715589821E-63</v>
      </c>
      <c r="V13" s="102">
        <f>EXP(lncombin($B13,$C13)+LN(V$6)*$C13+LN(1-V$6)*($B13-$C13)+lncombin($D13,$E13)+LN(V$7)*$E13+LN(1-V$7)*($D13-$E13))</f>
        <v>1.2294349892546366E-46</v>
      </c>
      <c r="W13" s="102">
        <f>EXP(lncombin($B13,$C13)+LN(W$6)*$C13+LN(1-W$6)*($B13-$C13)+lncombin($D13,$E13)+LN(W$7)*$E13+LN(1-W$7)*($D13-$E13))</f>
        <v>1.0384768899693304E-31</v>
      </c>
      <c r="X13" s="102">
        <f>EXP(lncombin($B13,$C13)+LN(X$6)*$C13+LN(1-X$6)*($B13-$C13)+lncombin($D13,$E13)+LN(X$7)*$E13+LN(1-X$7)*($D13-$E13))</f>
        <v>3.1222538702118493E-19</v>
      </c>
      <c r="Y13" s="102">
        <f>EXP(lncombin($B13,$C13)+LN(Y$6)*$C13+LN(1-Y$6)*($B13-$C13)+lncombin($D13,$E13)+LN(Y$7)*$E13+LN(1-Y$7)*($D13-$E13))</f>
        <v>9.9132460253783341E-10</v>
      </c>
      <c r="Z13" s="102">
        <f>EXP(lncombin($B13,$C13)+LN(Z$6)*$C13+LN(1-Z$6)*($B13-$C13)+lncombin($D13,$E13)+LN(Z$7)*$E13+LN(1-Z$7)*($D13-$E13))</f>
        <v>6.2620526453980533E-4</v>
      </c>
      <c r="AA13" s="102">
        <f>EXP(lncombin($B13,$C13)+LN(AA$6)*$C13+LN(1-AA$6)*($B13-$C13)+lncombin($D13,$E13)+LN(AA$7)*$E13+LN(1-AA$7)*($D13-$E13))</f>
        <v>9.3541727293067686E-3</v>
      </c>
      <c r="AB13" s="102">
        <f>EXP(lncombin($B13,$C13)+LN(AB$6)*$C13+LN(1-AB$6)*($B13-$C13)+lncombin($D13,$E13)+LN(AB$7)*$E13+LN(1-AB$7)*($D13-$E13))</f>
        <v>2.5361722364730877E-7</v>
      </c>
      <c r="AC13" s="102">
        <f>EXP(lncombin($B13,$C13)+LN(AC$6)*$C13+LN(1-AC$6)*($B13-$C13)+lncombin($D13,$E13)+LN(AC$7)*$E13+LN(1-AC$7)*($D13-$E13))</f>
        <v>6.4401700437140817E-19</v>
      </c>
      <c r="AD13" s="102">
        <f>EXP(lncombin($B13,$C13)+LN(AD$6)*$C13+LN(1-AD$6)*($B13-$C13)+lncombin($D13,$E13)+LN(AD$7)*$E13+LN(1-AD$7)*($D13-$E13))</f>
        <v>5.5113411119423102E-39</v>
      </c>
      <c r="AE13" s="102">
        <f>EXP(lncombin($B13,$C13)+LN(AE$6)*$C13+LN(1-AE$6)*($B13-$C13)+lncombin($D13,$E13)+LN(AE$7)*$E13+LN(1-AE$7)*($D13-$E13))</f>
        <v>4.0230156990682972E-69</v>
      </c>
      <c r="AF13" s="102">
        <f>EXP(lncombin($B13,$C13)+LN(AF$6)*$C13+LN(1-AF$6)*($B13-$C13)+lncombin($D13,$E13)+LN(AF$7)*$E13+LN(1-AF$7)*($D13-$E13))</f>
        <v>4.2669908481385844E-111</v>
      </c>
      <c r="AG13" s="102">
        <f>EXP(lncombin($B13,$C13)+LN(AG$6)*$C13+LN(1-AG$6)*($B13-$C13)+lncombin($D13,$E13)+LN(AG$7)*$E13+LN(1-AG$7)*($D13-$E13))</f>
        <v>6.6548617847176299E-167</v>
      </c>
      <c r="AH13" s="102">
        <f>EXP(lncombin($B13,$C13)+LN(AH$6)*$C13+LN(1-AH$6)*($B13-$C13)+lncombin($D13,$E13)+LN(AH$7)*$E13+LN(1-AH$7)*($D13-$E13))</f>
        <v>7.169803038802896E-239</v>
      </c>
      <c r="AI13" s="102">
        <f>EXP(lncombin($B13,$C13)+LN(AI$6)*$C13+LN(1-AI$6)*($B13-$C13)+lncombin($D13,$E13)+LN(AI$7)*$E13+LN(1-AI$7)*($D13-$E13))</f>
        <v>0</v>
      </c>
      <c r="AJ13" s="102">
        <f>EXP(lncombin($B13,$C13)+LN(AJ$6)*$C13+LN(1-AJ$6)*($B13-$C13)+lncombin($D13,$E13)+LN(AJ$7)*$E13+LN(1-AJ$7)*($D13-$E13))</f>
        <v>0</v>
      </c>
      <c r="AK13" s="102">
        <f>EXP(lncombin($B13,$C13)+LN(AK$6)*$C13+LN(1-AK$6)*($B13-$C13)+lncombin($D13,$E13)+LN(AK$7)*$E13+LN(1-AK$7)*($D13-$E13))</f>
        <v>0</v>
      </c>
      <c r="AL13" s="102">
        <f>EXP(lncombin($B13,$C13)+LN(AL$6)*$C13+LN(1-AL$6)*($B13-$C13)+lncombin($D13,$E13)+LN(AL$7)*$E13+LN(1-AL$7)*($D13-$E13))</f>
        <v>0</v>
      </c>
      <c r="AM13" s="102">
        <f>EXP(lncombin($B13,$C13)+LN(AM$6)*$C13+LN(1-AM$6)*($B13-$C13)+lncombin($D13,$E13)+LN(AM$7)*$E13+LN(1-AM$7)*($D13-$E13))</f>
        <v>0</v>
      </c>
      <c r="AN13" s="102">
        <f>EXP(lncombin($B13,$C13)+LN(AN$6)*$C13+LN(1-AN$6)*($B13-$C13)+lncombin($D13,$E13)+LN(AN$7)*$E13+LN(1-AN$7)*($D13-$E13))</f>
        <v>0</v>
      </c>
    </row>
    <row r="14" spans="1:40">
      <c r="A14">
        <v>1991</v>
      </c>
      <c r="B14">
        <v>1472</v>
      </c>
      <c r="C14">
        <v>2</v>
      </c>
      <c r="D14" s="3">
        <v>588</v>
      </c>
      <c r="E14">
        <v>65</v>
      </c>
      <c r="G14" s="18">
        <f t="shared" si="2"/>
        <v>-7.5549844189651338</v>
      </c>
      <c r="H14" s="7"/>
      <c r="I14" s="102">
        <f>EXP(lncombin($B14,$C14)+LN(I$6)*$C14+LN(1-I$6)*($B14-$C14)+lncombin($D14,$E14)+LN(I$7)*$E14+LN(1-I$7)*($D14-$E14))</f>
        <v>0</v>
      </c>
      <c r="J14" s="102">
        <f>EXP(lncombin($B14,$C14)+LN(J$6)*$C14+LN(1-J$6)*($B14-$C14)+lncombin($D14,$E14)+LN(J$7)*$E14+LN(1-J$7)*($D14-$E14))</f>
        <v>0</v>
      </c>
      <c r="K14" s="102">
        <f>EXP(lncombin($B14,$C14)+LN(K$6)*$C14+LN(1-K$6)*($B14-$C14)+lncombin($D14,$E14)+LN(K$7)*$E14+LN(1-K$7)*($D14-$E14))</f>
        <v>0</v>
      </c>
      <c r="L14" s="102">
        <f>EXP(lncombin($B14,$C14)+LN(L$6)*$C14+LN(1-L$6)*($B14-$C14)+lncombin($D14,$E14)+LN(L$7)*$E14+LN(1-L$7)*($D14-$E14))</f>
        <v>0</v>
      </c>
      <c r="M14" s="102">
        <f>EXP(lncombin($B14,$C14)+LN(M$6)*$C14+LN(1-M$6)*($B14-$C14)+lncombin($D14,$E14)+LN(M$7)*$E14+LN(1-M$7)*($D14-$E14))</f>
        <v>0</v>
      </c>
      <c r="N14" s="102">
        <f>EXP(lncombin($B14,$C14)+LN(N$6)*$C14+LN(1-N$6)*($B14-$C14)+lncombin($D14,$E14)+LN(N$7)*$E14+LN(1-N$7)*($D14-$E14))</f>
        <v>7.0651972989161081E-286</v>
      </c>
      <c r="O14" s="102">
        <f>EXP(lncombin($B14,$C14)+LN(O$6)*$C14+LN(1-O$6)*($B14-$C14)+lncombin($D14,$E14)+LN(O$7)*$E14+LN(1-O$7)*($D14-$E14))</f>
        <v>1.2755470723513448E-248</v>
      </c>
      <c r="P14" s="102">
        <f>EXP(lncombin($B14,$C14)+LN(P$6)*$C14+LN(1-P$6)*($B14-$C14)+lncombin($D14,$E14)+LN(P$7)*$E14+LN(1-P$7)*($D14-$E14))</f>
        <v>1.1789154608898413E-214</v>
      </c>
      <c r="Q14" s="102">
        <f>EXP(lncombin($B14,$C14)+LN(Q$6)*$C14+LN(1-Q$6)*($B14-$C14)+lncombin($D14,$E14)+LN(Q$7)*$E14+LN(1-Q$7)*($D14-$E14))</f>
        <v>1.559415966803268E-183</v>
      </c>
      <c r="R14" s="102">
        <f>EXP(lncombin($B14,$C14)+LN(R$6)*$C14+LN(1-R$6)*($B14-$C14)+lncombin($D14,$E14)+LN(R$7)*$E14+LN(1-R$7)*($D14-$E14))</f>
        <v>6.1927045393579455E-155</v>
      </c>
      <c r="S14" s="102">
        <f>EXP(lncombin($B14,$C14)+LN(S$6)*$C14+LN(1-S$6)*($B14-$C14)+lncombin($D14,$E14)+LN(S$7)*$E14+LN(1-S$7)*($D14-$E14))</f>
        <v>1.2541841316018054E-128</v>
      </c>
      <c r="T14" s="102">
        <f>EXP(lncombin($B14,$C14)+LN(T$6)*$C14+LN(1-T$6)*($B14-$C14)+lncombin($D14,$E14)+LN(T$7)*$E14+LN(1-T$7)*($D14-$E14))</f>
        <v>1.8373564622894263E-104</v>
      </c>
      <c r="U14" s="102">
        <f>EXP(lncombin($B14,$C14)+LN(U$6)*$C14+LN(1-U$6)*($B14-$C14)+lncombin($D14,$E14)+LN(U$7)*$E14+LN(1-U$7)*($D14-$E14))</f>
        <v>2.3016948663527201E-82</v>
      </c>
      <c r="V14" s="102">
        <f>EXP(lncombin($B14,$C14)+LN(V$6)*$C14+LN(1-V$6)*($B14-$C14)+lncombin($D14,$E14)+LN(V$7)*$E14+LN(1-V$7)*($D14-$E14))</f>
        <v>2.3648461326391604E-62</v>
      </c>
      <c r="W14" s="102">
        <f>EXP(lncombin($B14,$C14)+LN(W$6)*$C14+LN(1-W$6)*($B14-$C14)+lncombin($D14,$E14)+LN(W$7)*$E14+LN(1-W$7)*($D14-$E14))</f>
        <v>1.4830654426835869E-44</v>
      </c>
      <c r="X14" s="102">
        <f>EXP(lncombin($B14,$C14)+LN(X$6)*$C14+LN(1-X$6)*($B14-$C14)+lncombin($D14,$E14)+LN(X$7)*$E14+LN(1-X$7)*($D14-$E14))</f>
        <v>3.1114306370848877E-29</v>
      </c>
      <c r="Y14" s="102">
        <f>EXP(lncombin($B14,$C14)+LN(Y$6)*$C14+LN(1-Y$6)*($B14-$C14)+lncombin($D14,$E14)+LN(Y$7)*$E14+LN(1-Y$7)*($D14-$E14))</f>
        <v>8.4097330895052505E-17</v>
      </c>
      <c r="Z14" s="102">
        <f>EXP(lncombin($B14,$C14)+LN(Z$6)*$C14+LN(1-Z$6)*($B14-$C14)+lncombin($D14,$E14)+LN(Z$7)*$E14+LN(1-Z$7)*($D14-$E14))</f>
        <v>7.6962942090793886E-8</v>
      </c>
      <c r="AA14" s="102">
        <f>EXP(lncombin($B14,$C14)+LN(AA$6)*$C14+LN(1-AA$6)*($B14-$C14)+lncombin($D14,$E14)+LN(AA$7)*$E14+LN(1-AA$7)*($D14-$E14))</f>
        <v>4.2614925390222361E-3</v>
      </c>
      <c r="AB14" s="102">
        <f>EXP(lncombin($B14,$C14)+LN(AB$6)*$C14+LN(1-AB$6)*($B14-$C14)+lncombin($D14,$E14)+LN(AB$7)*$E14+LN(1-AB$7)*($D14-$E14))</f>
        <v>1.7705971816891219E-3</v>
      </c>
      <c r="AC14" s="102">
        <f>EXP(lncombin($B14,$C14)+LN(AC$6)*$C14+LN(1-AC$6)*($B14-$C14)+lncombin($D14,$E14)+LN(AC$7)*$E14+LN(1-AC$7)*($D14-$E14))</f>
        <v>4.9187546625424086E-10</v>
      </c>
      <c r="AD14" s="102">
        <f>EXP(lncombin($B14,$C14)+LN(AD$6)*$C14+LN(1-AD$6)*($B14-$C14)+lncombin($D14,$E14)+LN(AD$7)*$E14+LN(1-AD$7)*($D14-$E14))</f>
        <v>6.0358255416750668E-24</v>
      </c>
      <c r="AE14" s="102">
        <f>EXP(lncombin($B14,$C14)+LN(AE$6)*$C14+LN(1-AE$6)*($B14-$C14)+lncombin($D14,$E14)+LN(AE$7)*$E14+LN(1-AE$7)*($D14-$E14))</f>
        <v>1.6163012162766749E-46</v>
      </c>
      <c r="AF14" s="102">
        <f>EXP(lncombin($B14,$C14)+LN(AF$6)*$C14+LN(1-AF$6)*($B14-$C14)+lncombin($D14,$E14)+LN(AF$7)*$E14+LN(1-AF$7)*($D14-$E14))</f>
        <v>3.3701999474007392E-79</v>
      </c>
      <c r="AG14" s="102">
        <f>EXP(lncombin($B14,$C14)+LN(AG$6)*$C14+LN(1-AG$6)*($B14-$C14)+lncombin($D14,$E14)+LN(AG$7)*$E14+LN(1-AG$7)*($D14-$E14))</f>
        <v>1.2744713608471005E-123</v>
      </c>
      <c r="AH14" s="102">
        <f>EXP(lncombin($B14,$C14)+LN(AH$6)*$C14+LN(1-AH$6)*($B14-$C14)+lncombin($D14,$E14)+LN(AH$7)*$E14+LN(1-AH$7)*($D14-$E14))</f>
        <v>1.0864635682842339E-181</v>
      </c>
      <c r="AI14" s="102">
        <f>EXP(lncombin($B14,$C14)+LN(AI$6)*$C14+LN(1-AI$6)*($B14-$C14)+lncombin($D14,$E14)+LN(AI$7)*$E14+LN(1-AI$7)*($D14-$E14))</f>
        <v>9.6118187661921944E-256</v>
      </c>
      <c r="AJ14" s="102">
        <f>EXP(lncombin($B14,$C14)+LN(AJ$6)*$C14+LN(1-AJ$6)*($B14-$C14)+lncombin($D14,$E14)+LN(AJ$7)*$E14+LN(1-AJ$7)*($D14-$E14))</f>
        <v>0</v>
      </c>
      <c r="AK14" s="102">
        <f>EXP(lncombin($B14,$C14)+LN(AK$6)*$C14+LN(1-AK$6)*($B14-$C14)+lncombin($D14,$E14)+LN(AK$7)*$E14+LN(1-AK$7)*($D14-$E14))</f>
        <v>0</v>
      </c>
      <c r="AL14" s="102">
        <f>EXP(lncombin($B14,$C14)+LN(AL$6)*$C14+LN(1-AL$6)*($B14-$C14)+lncombin($D14,$E14)+LN(AL$7)*$E14+LN(1-AL$7)*($D14-$E14))</f>
        <v>0</v>
      </c>
      <c r="AM14" s="102">
        <f>EXP(lncombin($B14,$C14)+LN(AM$6)*$C14+LN(1-AM$6)*($B14-$C14)+lncombin($D14,$E14)+LN(AM$7)*$E14+LN(1-AM$7)*($D14-$E14))</f>
        <v>0</v>
      </c>
      <c r="AN14" s="102">
        <f>EXP(lncombin($B14,$C14)+LN(AN$6)*$C14+LN(1-AN$6)*($B14-$C14)+lncombin($D14,$E14)+LN(AN$7)*$E14+LN(1-AN$7)*($D14-$E14))</f>
        <v>0</v>
      </c>
    </row>
    <row r="15" spans="1:40">
      <c r="A15">
        <v>1992</v>
      </c>
      <c r="B15">
        <v>1619</v>
      </c>
      <c r="C15">
        <v>0</v>
      </c>
      <c r="D15" s="3">
        <v>525</v>
      </c>
      <c r="E15">
        <v>32</v>
      </c>
      <c r="G15" s="18">
        <f t="shared" si="2"/>
        <v>-6.4302954841315145</v>
      </c>
      <c r="H15" s="7"/>
      <c r="I15" s="102">
        <f>EXP(lncombin($B15,$C15)+LN(I$6)*$C15+LN(1-I$6)*($B15-$C15)+lncombin($D15,$E15)+LN(I$7)*$E15+LN(1-I$7)*($D15-$E15))</f>
        <v>4.2601988573798133E-270</v>
      </c>
      <c r="J15" s="102">
        <f>EXP(lncombin($B15,$C15)+LN(J$6)*$C15+LN(1-J$6)*($B15-$C15)+lncombin($D15,$E15)+LN(J$7)*$E15+LN(1-J$7)*($D15-$E15))</f>
        <v>4.0105282543045483E-231</v>
      </c>
      <c r="K15" s="102">
        <f>EXP(lncombin($B15,$C15)+LN(K$6)*$C15+LN(1-K$6)*($B15-$C15)+lncombin($D15,$E15)+LN(K$7)*$E15+LN(1-K$7)*($D15-$E15))</f>
        <v>1.1012530431574389E-200</v>
      </c>
      <c r="L15" s="102">
        <f>EXP(lncombin($B15,$C15)+LN(L$6)*$C15+LN(1-L$6)*($B15-$C15)+lncombin($D15,$E15)+LN(L$7)*$E15+LN(1-L$7)*($D15-$E15))</f>
        <v>6.3110067626907051E-175</v>
      </c>
      <c r="M15" s="102">
        <f>EXP(lncombin($B15,$C15)+LN(M$6)*$C15+LN(1-M$6)*($B15-$C15)+lncombin($D15,$E15)+LN(M$7)*$E15+LN(1-M$7)*($D15-$E15))</f>
        <v>2.3682059239404222E-152</v>
      </c>
      <c r="N15" s="102">
        <f>EXP(lncombin($B15,$C15)+LN(N$6)*$C15+LN(1-N$6)*($B15-$C15)+lncombin($D15,$E15)+LN(N$7)*$E15+LN(1-N$7)*($D15-$E15))</f>
        <v>3.5119749394120683E-132</v>
      </c>
      <c r="O15" s="102">
        <f>EXP(lncombin($B15,$C15)+LN(O$6)*$C15+LN(1-O$6)*($B15-$C15)+lncombin($D15,$E15)+LN(O$7)*$E15+LN(1-O$7)*($D15-$E15))</f>
        <v>6.1051406056570907E-114</v>
      </c>
      <c r="P15" s="102">
        <f>EXP(lncombin($B15,$C15)+LN(P$6)*$C15+LN(1-P$6)*($B15-$C15)+lncombin($D15,$E15)+LN(P$7)*$E15+LN(1-P$7)*($D15-$E15))</f>
        <v>2.5507983950475617E-97</v>
      </c>
      <c r="Q15" s="102">
        <f>EXP(lncombin($B15,$C15)+LN(Q$6)*$C15+LN(1-Q$6)*($B15-$C15)+lncombin($D15,$E15)+LN(Q$7)*$E15+LN(1-Q$7)*($D15-$E15))</f>
        <v>4.2189000658490572E-82</v>
      </c>
      <c r="R15" s="102">
        <f>EXP(lncombin($B15,$C15)+LN(R$6)*$C15+LN(1-R$6)*($B15-$C15)+lncombin($D15,$E15)+LN(R$7)*$E15+LN(1-R$7)*($D15-$E15))</f>
        <v>3.9259979048317688E-68</v>
      </c>
      <c r="S15" s="102">
        <f>EXP(lncombin($B15,$C15)+LN(S$6)*$C15+LN(1-S$6)*($B15-$C15)+lncombin($D15,$E15)+LN(S$7)*$E15+LN(1-S$7)*($D15-$E15))</f>
        <v>2.6002591128947296E-55</v>
      </c>
      <c r="T15" s="102">
        <f>EXP(lncombin($B15,$C15)+LN(T$6)*$C15+LN(1-T$6)*($B15-$C15)+lncombin($D15,$E15)+LN(T$7)*$E15+LN(1-T$7)*($D15-$E15))</f>
        <v>1.3856713496619872E-43</v>
      </c>
      <c r="U15" s="102">
        <f>EXP(lncombin($B15,$C15)+LN(U$6)*$C15+LN(1-U$6)*($B15-$C15)+lncombin($D15,$E15)+LN(U$7)*$E15+LN(1-U$7)*($D15-$E15))</f>
        <v>5.8979785384824818E-33</v>
      </c>
      <c r="V15" s="102">
        <f>EXP(lncombin($B15,$C15)+LN(V$6)*$C15+LN(1-V$6)*($B15-$C15)+lncombin($D15,$E15)+LN(V$7)*$E15+LN(1-V$7)*($D15-$E15))</f>
        <v>1.6862567256904509E-23</v>
      </c>
      <c r="W15" s="102">
        <f>EXP(lncombin($B15,$C15)+LN(W$6)*$C15+LN(1-W$6)*($B15-$C15)+lncombin($D15,$E15)+LN(W$7)*$E15+LN(1-W$7)*($D15-$E15))</f>
        <v>2.1957358676277718E-15</v>
      </c>
      <c r="X15" s="102">
        <f>EXP(lncombin($B15,$C15)+LN(X$6)*$C15+LN(1-X$6)*($B15-$C15)+lncombin($D15,$E15)+LN(X$7)*$E15+LN(1-X$7)*($D15-$E15))</f>
        <v>6.7408184207261334E-9</v>
      </c>
      <c r="Y15" s="102">
        <f>EXP(lncombin($B15,$C15)+LN(Y$6)*$C15+LN(1-Y$6)*($B15-$C15)+lncombin($D15,$E15)+LN(Y$7)*$E15+LN(1-Y$7)*($D15-$E15))</f>
        <v>1.8372818981365343E-4</v>
      </c>
      <c r="Z15" s="102">
        <f>EXP(lncombin($B15,$C15)+LN(Z$6)*$C15+LN(1-Z$6)*($B15-$C15)+lncombin($D15,$E15)+LN(Z$7)*$E15+LN(1-Z$7)*($D15-$E15))</f>
        <v>1.1812342355690291E-2</v>
      </c>
      <c r="AA15" s="102">
        <f>EXP(lncombin($B15,$C15)+LN(AA$6)*$C15+LN(1-AA$6)*($B15-$C15)+lncombin($D15,$E15)+LN(AA$7)*$E15+LN(1-AA$7)*($D15-$E15))</f>
        <v>3.3374122062848014E-4</v>
      </c>
      <c r="AB15" s="102">
        <f>EXP(lncombin($B15,$C15)+LN(AB$6)*$C15+LN(1-AB$6)*($B15-$C15)+lncombin($D15,$E15)+LN(AB$7)*$E15+LN(1-AB$7)*($D15-$E15))</f>
        <v>5.50682895346438E-10</v>
      </c>
      <c r="AC15" s="102">
        <f>EXP(lncombin($B15,$C15)+LN(AC$6)*$C15+LN(1-AC$6)*($B15-$C15)+lncombin($D15,$E15)+LN(AC$7)*$E15+LN(1-AC$7)*($D15-$E15))</f>
        <v>5.1856694442321964E-21</v>
      </c>
      <c r="AD15" s="102">
        <f>EXP(lncombin($B15,$C15)+LN(AD$6)*$C15+LN(1-AD$6)*($B15-$C15)+lncombin($D15,$E15)+LN(AD$7)*$E15+LN(1-AD$7)*($D15-$E15))</f>
        <v>2.0583317871466989E-38</v>
      </c>
      <c r="AE15" s="102">
        <f>EXP(lncombin($B15,$C15)+LN(AE$6)*$C15+LN(1-AE$6)*($B15-$C15)+lncombin($D15,$E15)+LN(AE$7)*$E15+LN(1-AE$7)*($D15-$E15))</f>
        <v>1.9331785749493593E-63</v>
      </c>
      <c r="AF15" s="102">
        <f>EXP(lncombin($B15,$C15)+LN(AF$6)*$C15+LN(1-AF$6)*($B15-$C15)+lncombin($D15,$E15)+LN(AF$7)*$E15+LN(1-AF$7)*($D15-$E15))</f>
        <v>1.7688477856133242E-97</v>
      </c>
      <c r="AG15" s="102">
        <f>EXP(lncombin($B15,$C15)+LN(AG$6)*$C15+LN(1-AG$6)*($B15-$C15)+lncombin($D15,$E15)+LN(AG$7)*$E15+LN(1-AG$7)*($D15-$E15))</f>
        <v>4.3141758549111631E-142</v>
      </c>
      <c r="AH15" s="102">
        <f>EXP(lncombin($B15,$C15)+LN(AH$6)*$C15+LN(1-AH$6)*($B15-$C15)+lncombin($D15,$E15)+LN(AH$7)*$E15+LN(1-AH$7)*($D15-$E15))</f>
        <v>4.2011741462443734E-199</v>
      </c>
      <c r="AI15" s="102">
        <f>EXP(lncombin($B15,$C15)+LN(AI$6)*$C15+LN(1-AI$6)*($B15-$C15)+lncombin($D15,$E15)+LN(AI$7)*$E15+LN(1-AI$7)*($D15-$E15))</f>
        <v>9.4502173305697024E-271</v>
      </c>
      <c r="AJ15" s="102">
        <f>EXP(lncombin($B15,$C15)+LN(AJ$6)*$C15+LN(1-AJ$6)*($B15-$C15)+lncombin($D15,$E15)+LN(AJ$7)*$E15+LN(1-AJ$7)*($D15-$E15))</f>
        <v>0</v>
      </c>
      <c r="AK15" s="102">
        <f>EXP(lncombin($B15,$C15)+LN(AK$6)*$C15+LN(1-AK$6)*($B15-$C15)+lncombin($D15,$E15)+LN(AK$7)*$E15+LN(1-AK$7)*($D15-$E15))</f>
        <v>0</v>
      </c>
      <c r="AL15" s="102">
        <f>EXP(lncombin($B15,$C15)+LN(AL$6)*$C15+LN(1-AL$6)*($B15-$C15)+lncombin($D15,$E15)+LN(AL$7)*$E15+LN(1-AL$7)*($D15-$E15))</f>
        <v>0</v>
      </c>
      <c r="AM15" s="102">
        <f>EXP(lncombin($B15,$C15)+LN(AM$6)*$C15+LN(1-AM$6)*($B15-$C15)+lncombin($D15,$E15)+LN(AM$7)*$E15+LN(1-AM$7)*($D15-$E15))</f>
        <v>0</v>
      </c>
      <c r="AN15" s="102">
        <f>EXP(lncombin($B15,$C15)+LN(AN$6)*$C15+LN(1-AN$6)*($B15-$C15)+lncombin($D15,$E15)+LN(AN$7)*$E15+LN(1-AN$7)*($D15-$E15))</f>
        <v>0</v>
      </c>
    </row>
    <row r="16" spans="1:40">
      <c r="A16">
        <v>1993</v>
      </c>
      <c r="B16">
        <v>1769</v>
      </c>
      <c r="C16">
        <v>0</v>
      </c>
      <c r="D16" s="3">
        <v>560</v>
      </c>
      <c r="E16">
        <v>14</v>
      </c>
      <c r="G16" s="18">
        <f t="shared" si="2"/>
        <v>-5.4743241062760184</v>
      </c>
      <c r="H16" s="7"/>
      <c r="I16" s="102">
        <f>EXP(lncombin($B16,$C16)+LN(I$6)*$C16+LN(1-I$6)*($B16-$C16)+lncombin($D16,$E16)+LN(I$7)*$E16+LN(1-I$7)*($D16-$E16))</f>
        <v>1.5674241428615053E-113</v>
      </c>
      <c r="J16" s="102">
        <f>EXP(lncombin($B16,$C16)+LN(J$6)*$C16+LN(1-J$6)*($B16-$C16)+lncombin($D16,$E16)+LN(J$7)*$E16+LN(1-J$7)*($D16-$E16))</f>
        <v>1.7359781724763843E-96</v>
      </c>
      <c r="K16" s="102">
        <f>EXP(lncombin($B16,$C16)+LN(K$6)*$C16+LN(1-K$6)*($B16-$C16)+lncombin($D16,$E16)+LN(K$7)*$E16+LN(1-K$7)*($D16-$E16))</f>
        <v>3.5394074927534536E-83</v>
      </c>
      <c r="L16" s="102">
        <f>EXP(lncombin($B16,$C16)+LN(L$6)*$C16+LN(1-L$6)*($B16-$C16)+lncombin($D16,$E16)+LN(L$7)*$E16+LN(1-L$7)*($D16-$E16))</f>
        <v>6.447154147307595E-72</v>
      </c>
      <c r="M16" s="102">
        <f>EXP(lncombin($B16,$C16)+LN(M$6)*$C16+LN(1-M$6)*($B16-$C16)+lncombin($D16,$E16)+LN(M$7)*$E16+LN(1-M$7)*($D16-$E16))</f>
        <v>4.7348841562745483E-62</v>
      </c>
      <c r="N16" s="102">
        <f>EXP(lncombin($B16,$C16)+LN(N$6)*$C16+LN(1-N$6)*($B16-$C16)+lncombin($D16,$E16)+LN(N$7)*$E16+LN(1-N$7)*($D16-$E16))</f>
        <v>3.0755480955630566E-53</v>
      </c>
      <c r="O16" s="102">
        <f>EXP(lncombin($B16,$C16)+LN(O$6)*$C16+LN(1-O$6)*($B16-$C16)+lncombin($D16,$E16)+LN(O$7)*$E16+LN(1-O$7)*($D16-$E16))</f>
        <v>2.8386791413831103E-45</v>
      </c>
      <c r="P16" s="102">
        <f>EXP(lncombin($B16,$C16)+LN(P$6)*$C16+LN(1-P$6)*($B16-$C16)+lncombin($D16,$E16)+LN(P$7)*$E16+LN(1-P$7)*($D16-$E16))</f>
        <v>5.0801624716035493E-38</v>
      </c>
      <c r="Q16" s="102">
        <f>EXP(lncombin($B16,$C16)+LN(Q$6)*$C16+LN(1-Q$6)*($B16-$C16)+lncombin($D16,$E16)+LN(Q$7)*$E16+LN(1-Q$7)*($D16-$E16))</f>
        <v>2.1766147232985365E-31</v>
      </c>
      <c r="R16" s="102">
        <f>EXP(lncombin($B16,$C16)+LN(R$6)*$C16+LN(1-R$6)*($B16-$C16)+lncombin($D16,$E16)+LN(R$7)*$E16+LN(1-R$7)*($D16-$E16))</f>
        <v>2.5613647039623997E-25</v>
      </c>
      <c r="S16" s="102">
        <f>EXP(lncombin($B16,$C16)+LN(S$6)*$C16+LN(1-S$6)*($B16-$C16)+lncombin($D16,$E16)+LN(S$7)*$E16+LN(1-S$7)*($D16-$E16))</f>
        <v>8.8631921754828636E-20</v>
      </c>
      <c r="T16" s="102">
        <f>EXP(lncombin($B16,$C16)+LN(T$6)*$C16+LN(1-T$6)*($B16-$C16)+lncombin($D16,$E16)+LN(T$7)*$E16+LN(1-T$7)*($D16-$E16))</f>
        <v>8.8903824601008948E-15</v>
      </c>
      <c r="U16" s="102">
        <f>EXP(lncombin($B16,$C16)+LN(U$6)*$C16+LN(1-U$6)*($B16-$C16)+lncombin($D16,$E16)+LN(U$7)*$E16+LN(1-U$7)*($D16-$E16))</f>
        <v>2.2748670360486574E-10</v>
      </c>
      <c r="V16" s="102">
        <f>EXP(lncombin($B16,$C16)+LN(V$6)*$C16+LN(1-V$6)*($B16-$C16)+lncombin($D16,$E16)+LN(V$7)*$E16+LN(1-V$7)*($D16-$E16))</f>
        <v>1.1124390004020219E-6</v>
      </c>
      <c r="W16" s="102">
        <f>EXP(lncombin($B16,$C16)+LN(W$6)*$C16+LN(1-W$6)*($B16-$C16)+lncombin($D16,$E16)+LN(W$7)*$E16+LN(1-W$7)*($D16-$E16))</f>
        <v>6.2436021957181919E-4</v>
      </c>
      <c r="X16" s="102">
        <f>EXP(lncombin($B16,$C16)+LN(X$6)*$C16+LN(1-X$6)*($B16-$C16)+lncombin($D16,$E16)+LN(X$7)*$E16+LN(1-X$7)*($D16-$E16))</f>
        <v>1.8156699661802469E-2</v>
      </c>
      <c r="Y16" s="102">
        <f>EXP(lncombin($B16,$C16)+LN(Y$6)*$C16+LN(1-Y$6)*($B16-$C16)+lncombin($D16,$E16)+LN(Y$7)*$E16+LN(1-Y$7)*($D16-$E16))</f>
        <v>8.7751377711932504E-3</v>
      </c>
      <c r="Z16" s="102">
        <f>EXP(lncombin($B16,$C16)+LN(Z$6)*$C16+LN(1-Z$6)*($B16-$C16)+lncombin($D16,$E16)+LN(Z$7)*$E16+LN(1-Z$7)*($D16-$E16))</f>
        <v>1.5492110141965972E-5</v>
      </c>
      <c r="AA16" s="102">
        <f>EXP(lncombin($B16,$C16)+LN(AA$6)*$C16+LN(1-AA$6)*($B16-$C16)+lncombin($D16,$E16)+LN(AA$7)*$E16+LN(1-AA$7)*($D16-$E16))</f>
        <v>1.491844648454245E-11</v>
      </c>
      <c r="AB16" s="102">
        <f>EXP(lncombin($B16,$C16)+LN(AB$6)*$C16+LN(1-AB$6)*($B16-$C16)+lncombin($D16,$E16)+LN(AB$7)*$E16+LN(1-AB$7)*($D16-$E16))</f>
        <v>8.0877607822828925E-22</v>
      </c>
      <c r="AC16" s="102">
        <f>EXP(lncombin($B16,$C16)+LN(AC$6)*$C16+LN(1-AC$6)*($B16-$C16)+lncombin($D16,$E16)+LN(AC$7)*$E16+LN(1-AC$7)*($D16-$E16))</f>
        <v>1.8185613745621987E-37</v>
      </c>
      <c r="AD16" s="102">
        <f>EXP(lncombin($B16,$C16)+LN(AD$6)*$C16+LN(1-AD$6)*($B16-$C16)+lncombin($D16,$E16)+LN(AD$7)*$E16+LN(1-AD$7)*($D16-$E16))</f>
        <v>9.179190615944654E-60</v>
      </c>
      <c r="AE16" s="102">
        <f>EXP(lncombin($B16,$C16)+LN(AE$6)*$C16+LN(1-AE$6)*($B16-$C16)+lncombin($D16,$E16)+LN(AE$7)*$E16+LN(1-AE$7)*($D16-$E16))</f>
        <v>4.1541068861565862E-90</v>
      </c>
      <c r="AF16" s="102">
        <f>EXP(lncombin($B16,$C16)+LN(AF$6)*$C16+LN(1-AF$6)*($B16-$C16)+lncombin($D16,$E16)+LN(AF$7)*$E16+LN(1-AF$7)*($D16-$E16))</f>
        <v>4.7668384436820892E-130</v>
      </c>
      <c r="AG16" s="102">
        <f>EXP(lncombin($B16,$C16)+LN(AG$6)*$C16+LN(1-AG$6)*($B16-$C16)+lncombin($D16,$E16)+LN(AG$7)*$E16+LN(1-AG$7)*($D16-$E16))</f>
        <v>2.4839845148992661E-181</v>
      </c>
      <c r="AH16" s="102">
        <f>EXP(lncombin($B16,$C16)+LN(AH$6)*$C16+LN(1-AH$6)*($B16-$C16)+lncombin($D16,$E16)+LN(AH$7)*$E16+LN(1-AH$7)*($D16-$E16))</f>
        <v>5.3651749408309078E-246</v>
      </c>
      <c r="AI16" s="102">
        <f>EXP(lncombin($B16,$C16)+LN(AI$6)*$C16+LN(1-AI$6)*($B16-$C16)+lncombin($D16,$E16)+LN(AI$7)*$E16+LN(1-AI$7)*($D16-$E16))</f>
        <v>0</v>
      </c>
      <c r="AJ16" s="102">
        <f>EXP(lncombin($B16,$C16)+LN(AJ$6)*$C16+LN(1-AJ$6)*($B16-$C16)+lncombin($D16,$E16)+LN(AJ$7)*$E16+LN(1-AJ$7)*($D16-$E16))</f>
        <v>0</v>
      </c>
      <c r="AK16" s="102">
        <f>EXP(lncombin($B16,$C16)+LN(AK$6)*$C16+LN(1-AK$6)*($B16-$C16)+lncombin($D16,$E16)+LN(AK$7)*$E16+LN(1-AK$7)*($D16-$E16))</f>
        <v>0</v>
      </c>
      <c r="AL16" s="102">
        <f>EXP(lncombin($B16,$C16)+LN(AL$6)*$C16+LN(1-AL$6)*($B16-$C16)+lncombin($D16,$E16)+LN(AL$7)*$E16+LN(1-AL$7)*($D16-$E16))</f>
        <v>0</v>
      </c>
      <c r="AM16" s="102">
        <f>EXP(lncombin($B16,$C16)+LN(AM$6)*$C16+LN(1-AM$6)*($B16-$C16)+lncombin($D16,$E16)+LN(AM$7)*$E16+LN(1-AM$7)*($D16-$E16))</f>
        <v>0</v>
      </c>
      <c r="AN16" s="102">
        <f>EXP(lncombin($B16,$C16)+LN(AN$6)*$C16+LN(1-AN$6)*($B16-$C16)+lncombin($D16,$E16)+LN(AN$7)*$E16+LN(1-AN$7)*($D16-$E16))</f>
        <v>0</v>
      </c>
    </row>
    <row r="17" spans="1:40">
      <c r="A17">
        <v>1994</v>
      </c>
      <c r="B17">
        <v>1847</v>
      </c>
      <c r="C17">
        <v>1</v>
      </c>
      <c r="D17" s="3">
        <v>711</v>
      </c>
      <c r="E17">
        <v>15</v>
      </c>
      <c r="G17" s="18">
        <f t="shared" si="2"/>
        <v>-5.1220892512512846</v>
      </c>
      <c r="H17" s="7"/>
      <c r="I17" s="102">
        <f>EXP(lncombin($B17,$C17)+LN(I$6)*$C17+LN(1-I$6)*($B17-$C17)+lncombin($D17,$E17)+LN(I$7)*$E17+LN(1-I$7)*($D17-$E17))</f>
        <v>1.2766737110723346E-121</v>
      </c>
      <c r="J17" s="102">
        <f>EXP(lncombin($B17,$C17)+LN(J$6)*$C17+LN(1-J$6)*($B17-$C17)+lncombin($D17,$E17)+LN(J$7)*$E17+LN(1-J$7)*($D17-$E17))</f>
        <v>3.3341014366089409E-103</v>
      </c>
      <c r="K17" s="102">
        <f>EXP(lncombin($B17,$C17)+LN(K$6)*$C17+LN(1-K$6)*($B17-$C17)+lncombin($D17,$E17)+LN(K$7)*$E17+LN(1-K$7)*($D17-$E17))</f>
        <v>8.1307921468573071E-89</v>
      </c>
      <c r="L17" s="102">
        <f>EXP(lncombin($B17,$C17)+LN(L$6)*$C17+LN(1-L$6)*($B17-$C17)+lncombin($D17,$E17)+LN(L$7)*$E17+LN(1-L$7)*($D17-$E17))</f>
        <v>1.2229038654521715E-76</v>
      </c>
      <c r="M17" s="102">
        <f>EXP(lncombin($B17,$C17)+LN(M$6)*$C17+LN(1-M$6)*($B17-$C17)+lncombin($D17,$E17)+LN(M$7)*$E17+LN(1-M$7)*($D17-$E17))</f>
        <v>5.7689110929247277E-66</v>
      </c>
      <c r="N17" s="102">
        <f>EXP(lncombin($B17,$C17)+LN(N$6)*$C17+LN(1-N$6)*($B17-$C17)+lncombin($D17,$E17)+LN(N$7)*$E17+LN(1-N$7)*($D17-$E17))</f>
        <v>1.9925377345215696E-56</v>
      </c>
      <c r="O17" s="102">
        <f>EXP(lncombin($B17,$C17)+LN(O$6)*$C17+LN(1-O$6)*($B17-$C17)+lncombin($D17,$E17)+LN(O$7)*$E17+LN(1-O$7)*($D17-$E17))</f>
        <v>8.4030160363767406E-48</v>
      </c>
      <c r="P17" s="102">
        <f>EXP(lncombin($B17,$C17)+LN(P$6)*$C17+LN(1-P$6)*($B17-$C17)+lncombin($D17,$E17)+LN(P$7)*$E17+LN(1-P$7)*($D17-$E17))</f>
        <v>6.0466652025567322E-40</v>
      </c>
      <c r="Q17" s="102">
        <f>EXP(lncombin($B17,$C17)+LN(Q$6)*$C17+LN(1-Q$6)*($B17-$C17)+lncombin($D17,$E17)+LN(Q$7)*$E17+LN(1-Q$7)*($D17-$E17))</f>
        <v>9.3019680265725858E-33</v>
      </c>
      <c r="R17" s="102">
        <f>EXP(lncombin($B17,$C17)+LN(R$6)*$C17+LN(1-R$6)*($B17-$C17)+lncombin($D17,$E17)+LN(R$7)*$E17+LN(1-R$7)*($D17-$E17))</f>
        <v>3.5304845517958063E-26</v>
      </c>
      <c r="S17" s="102">
        <f>EXP(lncombin($B17,$C17)+LN(S$6)*$C17+LN(1-S$6)*($B17-$C17)+lncombin($D17,$E17)+LN(S$7)*$E17+LN(1-S$7)*($D17-$E17))</f>
        <v>3.5206875753308705E-20</v>
      </c>
      <c r="T17" s="102">
        <f>EXP(lncombin($B17,$C17)+LN(T$6)*$C17+LN(1-T$6)*($B17-$C17)+lncombin($D17,$E17)+LN(T$7)*$E17+LN(1-T$7)*($D17-$E17))</f>
        <v>8.8906567387829381E-15</v>
      </c>
      <c r="U17" s="102">
        <f>EXP(lncombin($B17,$C17)+LN(U$6)*$C17+LN(1-U$6)*($B17-$C17)+lncombin($D17,$E17)+LN(U$7)*$E17+LN(1-U$7)*($D17-$E17))</f>
        <v>4.7602332845969243E-10</v>
      </c>
      <c r="V17" s="102">
        <f>EXP(lncombin($B17,$C17)+LN(V$6)*$C17+LN(1-V$6)*($B17-$C17)+lncombin($D17,$E17)+LN(V$7)*$E17+LN(1-V$7)*($D17-$E17))</f>
        <v>3.6963071137613343E-6</v>
      </c>
      <c r="W17" s="102">
        <f>EXP(lncombin($B17,$C17)+LN(W$6)*$C17+LN(1-W$6)*($B17-$C17)+lncombin($D17,$E17)+LN(W$7)*$E17+LN(1-W$7)*($D17-$E17))</f>
        <v>2.1528783370938663E-3</v>
      </c>
      <c r="X17" s="102">
        <f>EXP(lncombin($B17,$C17)+LN(X$6)*$C17+LN(1-X$6)*($B17-$C17)+lncombin($D17,$E17)+LN(X$7)*$E17+LN(1-X$7)*($D17-$E17))</f>
        <v>3.3873112165015505E-2</v>
      </c>
      <c r="Y17" s="102">
        <f>EXP(lncombin($B17,$C17)+LN(Y$6)*$C17+LN(1-Y$6)*($B17-$C17)+lncombin($D17,$E17)+LN(Y$7)*$E17+LN(1-Y$7)*($D17-$E17))</f>
        <v>3.3589071066198756E-3</v>
      </c>
      <c r="Z17" s="102">
        <f>EXP(lncombin($B17,$C17)+LN(Z$6)*$C17+LN(1-Z$6)*($B17-$C17)+lncombin($D17,$E17)+LN(Z$7)*$E17+LN(1-Z$7)*($D17-$E17))</f>
        <v>3.0288316323340454E-7</v>
      </c>
      <c r="AA17" s="102">
        <f>EXP(lncombin($B17,$C17)+LN(AA$6)*$C17+LN(1-AA$6)*($B17-$C17)+lncombin($D17,$E17)+LN(AA$7)*$E17+LN(1-AA$7)*($D17-$E17))</f>
        <v>2.1914944575219647E-15</v>
      </c>
      <c r="AB17" s="102">
        <f>EXP(lncombin($B17,$C17)+LN(AB$6)*$C17+LN(1-AB$6)*($B17-$C17)+lncombin($D17,$E17)+LN(AB$7)*$E17+LN(1-AB$7)*($D17-$E17))</f>
        <v>7.017801300652213E-29</v>
      </c>
      <c r="AC17" s="102">
        <f>EXP(lncombin($B17,$C17)+LN(AC$6)*$C17+LN(1-AC$6)*($B17-$C17)+lncombin($D17,$E17)+LN(AC$7)*$E17+LN(1-AC$7)*($D17-$E17))</f>
        <v>3.5722837791469025E-49</v>
      </c>
      <c r="AD17" s="102">
        <f>EXP(lncombin($B17,$C17)+LN(AD$6)*$C17+LN(1-AD$6)*($B17-$C17)+lncombin($D17,$E17)+LN(AD$7)*$E17+LN(1-AD$7)*($D17-$E17))</f>
        <v>7.012108515642658E-78</v>
      </c>
      <c r="AE17" s="102">
        <f>EXP(lncombin($B17,$C17)+LN(AE$6)*$C17+LN(1-AE$6)*($B17-$C17)+lncombin($D17,$E17)+LN(AE$7)*$E17+LN(1-AE$7)*($D17-$E17))</f>
        <v>8.7464387962681397E-117</v>
      </c>
      <c r="AF17" s="102">
        <f>EXP(lncombin($B17,$C17)+LN(AF$6)*$C17+LN(1-AF$6)*($B17-$C17)+lncombin($D17,$E17)+LN(AF$7)*$E17+LN(1-AF$7)*($D17-$E17))</f>
        <v>7.3608720011850798E-168</v>
      </c>
      <c r="AG17" s="102">
        <f>EXP(lncombin($B17,$C17)+LN(AG$6)*$C17+LN(1-AG$6)*($B17-$C17)+lncombin($D17,$E17)+LN(AG$7)*$E17+LN(1-AG$7)*($D17-$E17))</f>
        <v>2.4804118992111002E-233</v>
      </c>
      <c r="AH17" s="102">
        <f>EXP(lncombin($B17,$C17)+LN(AH$6)*$C17+LN(1-AH$6)*($B17-$C17)+lncombin($D17,$E17)+LN(AH$7)*$E17+LN(1-AH$7)*($D17-$E17))</f>
        <v>0</v>
      </c>
      <c r="AI17" s="102">
        <f>EXP(lncombin($B17,$C17)+LN(AI$6)*$C17+LN(1-AI$6)*($B17-$C17)+lncombin($D17,$E17)+LN(AI$7)*$E17+LN(1-AI$7)*($D17-$E17))</f>
        <v>0</v>
      </c>
      <c r="AJ17" s="102">
        <f>EXP(lncombin($B17,$C17)+LN(AJ$6)*$C17+LN(1-AJ$6)*($B17-$C17)+lncombin($D17,$E17)+LN(AJ$7)*$E17+LN(1-AJ$7)*($D17-$E17))</f>
        <v>0</v>
      </c>
      <c r="AK17" s="102">
        <f>EXP(lncombin($B17,$C17)+LN(AK$6)*$C17+LN(1-AK$6)*($B17-$C17)+lncombin($D17,$E17)+LN(AK$7)*$E17+LN(1-AK$7)*($D17-$E17))</f>
        <v>0</v>
      </c>
      <c r="AL17" s="102">
        <f>EXP(lncombin($B17,$C17)+LN(AL$6)*$C17+LN(1-AL$6)*($B17-$C17)+lncombin($D17,$E17)+LN(AL$7)*$E17+LN(1-AL$7)*($D17-$E17))</f>
        <v>0</v>
      </c>
      <c r="AM17" s="102">
        <f>EXP(lncombin($B17,$C17)+LN(AM$6)*$C17+LN(1-AM$6)*($B17-$C17)+lncombin($D17,$E17)+LN(AM$7)*$E17+LN(1-AM$7)*($D17-$E17))</f>
        <v>0</v>
      </c>
      <c r="AN17" s="102">
        <f>EXP(lncombin($B17,$C17)+LN(AN$6)*$C17+LN(1-AN$6)*($B17-$C17)+lncombin($D17,$E17)+LN(AN$7)*$E17+LN(1-AN$7)*($D17-$E17))</f>
        <v>0</v>
      </c>
    </row>
    <row r="18" spans="1:40">
      <c r="A18">
        <v>1995</v>
      </c>
      <c r="B18">
        <v>2046</v>
      </c>
      <c r="C18">
        <v>1</v>
      </c>
      <c r="D18" s="3">
        <v>822</v>
      </c>
      <c r="E18">
        <v>29</v>
      </c>
      <c r="G18" s="18">
        <f t="shared" si="2"/>
        <v>-5.7078023304761674</v>
      </c>
      <c r="H18" s="7"/>
      <c r="I18" s="102">
        <f>EXP(lncombin($B18,$C18)+LN(I$6)*$C18+LN(1-I$6)*($B18-$C18)+lncombin($D18,$E18)+LN(I$7)*$E18+LN(1-I$7)*($D18-$E18))</f>
        <v>4.7470531040565029E-239</v>
      </c>
      <c r="J18" s="102">
        <f>EXP(lncombin($B18,$C18)+LN(J$6)*$C18+LN(1-J$6)*($B18-$C18)+lncombin($D18,$E18)+LN(J$7)*$E18+LN(1-J$7)*($D18-$E18))</f>
        <v>1.4045900133760792E-203</v>
      </c>
      <c r="K18" s="102">
        <f>EXP(lncombin($B18,$C18)+LN(K$6)*$C18+LN(1-K$6)*($B18-$C18)+lncombin($D18,$E18)+LN(K$7)*$E18+LN(1-K$7)*($D18-$E18))</f>
        <v>7.1655274843383252E-176</v>
      </c>
      <c r="L18" s="102">
        <f>EXP(lncombin($B18,$C18)+LN(L$6)*$C18+LN(1-L$6)*($B18-$C18)+lncombin($D18,$E18)+LN(L$7)*$E18+LN(1-L$7)*($D18-$E18))</f>
        <v>2.0227386636668668E-152</v>
      </c>
      <c r="M18" s="102">
        <f>EXP(lncombin($B18,$C18)+LN(M$6)*$C18+LN(1-M$6)*($B18-$C18)+lncombin($D18,$E18)+LN(M$7)*$E18+LN(1-M$7)*($D18-$E18))</f>
        <v>7.2586785237674061E-132</v>
      </c>
      <c r="N18" s="102">
        <f>EXP(lncombin($B18,$C18)+LN(N$6)*$C18+LN(1-N$6)*($B18-$C18)+lncombin($D18,$E18)+LN(N$7)*$E18+LN(1-N$7)*($D18-$E18))</f>
        <v>1.6978519311908471E-113</v>
      </c>
      <c r="O18" s="102">
        <f>EXP(lncombin($B18,$C18)+LN(O$6)*$C18+LN(1-O$6)*($B18-$C18)+lncombin($D18,$E18)+LN(O$7)*$E18+LN(1-O$7)*($D18-$E18))</f>
        <v>6.9508575743274622E-97</v>
      </c>
      <c r="P18" s="102">
        <f>EXP(lncombin($B18,$C18)+LN(P$6)*$C18+LN(1-P$6)*($B18-$C18)+lncombin($D18,$E18)+LN(P$7)*$E18+LN(1-P$7)*($D18-$E18))</f>
        <v>9.5408601042735827E-82</v>
      </c>
      <c r="Q18" s="102">
        <f>EXP(lncombin($B18,$C18)+LN(Q$6)*$C18+LN(1-Q$6)*($B18-$C18)+lncombin($D18,$E18)+LN(Q$7)*$E18+LN(1-Q$7)*($D18-$E18))</f>
        <v>6.862599795783509E-68</v>
      </c>
      <c r="R18" s="102">
        <f>EXP(lncombin($B18,$C18)+LN(R$6)*$C18+LN(1-R$6)*($B18-$C18)+lncombin($D18,$E18)+LN(R$7)*$E18+LN(1-R$7)*($D18-$E18))</f>
        <v>3.502562024335669E-55</v>
      </c>
      <c r="S18" s="102">
        <f>EXP(lncombin($B18,$C18)+LN(S$6)*$C18+LN(1-S$6)*($B18-$C18)+lncombin($D18,$E18)+LN(S$7)*$E18+LN(1-S$7)*($D18-$E18))</f>
        <v>1.5161095007247528E-43</v>
      </c>
      <c r="T18" s="102">
        <f>EXP(lncombin($B18,$C18)+LN(T$6)*$C18+LN(1-T$6)*($B18-$C18)+lncombin($D18,$E18)+LN(T$7)*$E18+LN(1-T$7)*($D18-$E18))</f>
        <v>5.8006584303031021E-33</v>
      </c>
      <c r="U18" s="102">
        <f>EXP(lncombin($B18,$C18)+LN(U$6)*$C18+LN(1-U$6)*($B18-$C18)+lncombin($D18,$E18)+LN(U$7)*$E18+LN(1-U$7)*($D18-$E18))</f>
        <v>1.7125051735251018E-23</v>
      </c>
      <c r="V18" s="102">
        <f>EXP(lncombin($B18,$C18)+LN(V$6)*$C18+LN(1-V$6)*($B18-$C18)+lncombin($D18,$E18)+LN(V$7)*$E18+LN(1-V$7)*($D18-$E18))</f>
        <v>2.6709851578916554E-15</v>
      </c>
      <c r="W18" s="102">
        <f>EXP(lncombin($B18,$C18)+LN(W$6)*$C18+LN(1-W$6)*($B18-$C18)+lncombin($D18,$E18)+LN(W$7)*$E18+LN(1-W$7)*($D18-$E18))</f>
        <v>1.0853835484101803E-8</v>
      </c>
      <c r="X18" s="102">
        <f>EXP(lncombin($B18,$C18)+LN(X$6)*$C18+LN(1-X$6)*($B18-$C18)+lncombin($D18,$E18)+LN(X$7)*$E18+LN(1-X$7)*($D18-$E18))</f>
        <v>3.7239630917954112E-4</v>
      </c>
      <c r="Y18" s="102">
        <f>EXP(lncombin($B18,$C18)+LN(Y$6)*$C18+LN(1-Y$6)*($B18-$C18)+lncombin($D18,$E18)+LN(Y$7)*$E18+LN(1-Y$7)*($D18-$E18))</f>
        <v>2.1193447531149996E-2</v>
      </c>
      <c r="Z18" s="102">
        <f>EXP(lncombin($B18,$C18)+LN(Z$6)*$C18+LN(1-Z$6)*($B18-$C18)+lncombin($D18,$E18)+LN(Z$7)*$E18+LN(1-Z$7)*($D18-$E18))</f>
        <v>2.2628480762305238E-4</v>
      </c>
      <c r="AA18" s="102">
        <f>EXP(lncombin($B18,$C18)+LN(AA$6)*$C18+LN(1-AA$6)*($B18-$C18)+lncombin($D18,$E18)+LN(AA$7)*$E18+LN(1-AA$7)*($D18-$E18))</f>
        <v>2.9171994303259582E-11</v>
      </c>
      <c r="AB18" s="102">
        <f>EXP(lncombin($B18,$C18)+LN(AB$6)*$C18+LN(1-AB$6)*($B18-$C18)+lncombin($D18,$E18)+LN(AB$7)*$E18+LN(1-AB$7)*($D18-$E18))</f>
        <v>1.7064826231606868E-24</v>
      </c>
      <c r="AC18" s="102">
        <f>EXP(lncombin($B18,$C18)+LN(AC$6)*$C18+LN(1-AC$6)*($B18-$C18)+lncombin($D18,$E18)+LN(AC$7)*$E18+LN(1-AC$7)*($D18-$E18))</f>
        <v>1.0422586921317838E-45</v>
      </c>
      <c r="AD18" s="102">
        <f>EXP(lncombin($B18,$C18)+LN(AD$6)*$C18+LN(1-AD$6)*($B18-$C18)+lncombin($D18,$E18)+LN(AD$7)*$E18+LN(1-AD$7)*($D18-$E18))</f>
        <v>9.7712591761517721E-77</v>
      </c>
      <c r="AE18" s="102">
        <f>EXP(lncombin($B18,$C18)+LN(AE$6)*$C18+LN(1-AE$6)*($B18-$C18)+lncombin($D18,$E18)+LN(AE$7)*$E18+LN(1-AE$7)*($D18-$E18))</f>
        <v>1.3306686272752586E-119</v>
      </c>
      <c r="AF18" s="102">
        <f>EXP(lncombin($B18,$C18)+LN(AF$6)*$C18+LN(1-AF$6)*($B18-$C18)+lncombin($D18,$E18)+LN(AF$7)*$E18+LN(1-AF$7)*($D18-$E18))</f>
        <v>1.511500295253013E-176</v>
      </c>
      <c r="AG18" s="102">
        <f>EXP(lncombin($B18,$C18)+LN(AG$6)*$C18+LN(1-AG$6)*($B18-$C18)+lncombin($D18,$E18)+LN(AG$7)*$E18+LN(1-AG$7)*($D18-$E18))</f>
        <v>4.2487586579490838E-250</v>
      </c>
      <c r="AH18" s="102">
        <f>EXP(lncombin($B18,$C18)+LN(AH$6)*$C18+LN(1-AH$6)*($B18-$C18)+lncombin($D18,$E18)+LN(AH$7)*$E18+LN(1-AH$7)*($D18-$E18))</f>
        <v>0</v>
      </c>
      <c r="AI18" s="102">
        <f>EXP(lncombin($B18,$C18)+LN(AI$6)*$C18+LN(1-AI$6)*($B18-$C18)+lncombin($D18,$E18)+LN(AI$7)*$E18+LN(1-AI$7)*($D18-$E18))</f>
        <v>0</v>
      </c>
      <c r="AJ18" s="102">
        <f>EXP(lncombin($B18,$C18)+LN(AJ$6)*$C18+LN(1-AJ$6)*($B18-$C18)+lncombin($D18,$E18)+LN(AJ$7)*$E18+LN(1-AJ$7)*($D18-$E18))</f>
        <v>0</v>
      </c>
      <c r="AK18" s="102">
        <f>EXP(lncombin($B18,$C18)+LN(AK$6)*$C18+LN(1-AK$6)*($B18-$C18)+lncombin($D18,$E18)+LN(AK$7)*$E18+LN(1-AK$7)*($D18-$E18))</f>
        <v>0</v>
      </c>
      <c r="AL18" s="102">
        <f>EXP(lncombin($B18,$C18)+LN(AL$6)*$C18+LN(1-AL$6)*($B18-$C18)+lncombin($D18,$E18)+LN(AL$7)*$E18+LN(1-AL$7)*($D18-$E18))</f>
        <v>0</v>
      </c>
      <c r="AM18" s="102">
        <f>EXP(lncombin($B18,$C18)+LN(AM$6)*$C18+LN(1-AM$6)*($B18-$C18)+lncombin($D18,$E18)+LN(AM$7)*$E18+LN(1-AM$7)*($D18-$E18))</f>
        <v>0</v>
      </c>
      <c r="AN18" s="102">
        <f>EXP(lncombin($B18,$C18)+LN(AN$6)*$C18+LN(1-AN$6)*($B18-$C18)+lncombin($D18,$E18)+LN(AN$7)*$E18+LN(1-AN$7)*($D18-$E18))</f>
        <v>0</v>
      </c>
    </row>
    <row r="19" spans="1:40">
      <c r="A19">
        <v>1996</v>
      </c>
      <c r="B19">
        <v>2243</v>
      </c>
      <c r="C19">
        <v>0</v>
      </c>
      <c r="D19" s="3">
        <v>885</v>
      </c>
      <c r="E19">
        <v>16</v>
      </c>
      <c r="G19" s="18">
        <f t="shared" si="2"/>
        <v>-5.8572987984995661</v>
      </c>
      <c r="H19" s="7"/>
      <c r="I19" s="102">
        <f>EXP(lncombin($B19,$C19)+LN(I$6)*$C19+LN(1-I$6)*($B19-$C19)+lncombin($D19,$E19)+LN(I$7)*$E19+LN(1-I$7)*($D19-$E19))</f>
        <v>2.8962046746433785E-127</v>
      </c>
      <c r="J19" s="102">
        <f>EXP(lncombin($B19,$C19)+LN(J$6)*$C19+LN(1-J$6)*($B19-$C19)+lncombin($D19,$E19)+LN(J$7)*$E19+LN(1-J$7)*($D19-$E19))</f>
        <v>8.7037042935248803E-108</v>
      </c>
      <c r="K19" s="102">
        <f>EXP(lncombin($B19,$C19)+LN(K$6)*$C19+LN(1-K$6)*($B19-$C19)+lncombin($D19,$E19)+LN(K$7)*$E19+LN(1-K$7)*($D19-$E19))</f>
        <v>1.4088268701719414E-92</v>
      </c>
      <c r="L19" s="102">
        <f>EXP(lncombin($B19,$C19)+LN(L$6)*$C19+LN(1-L$6)*($B19-$C19)+lncombin($D19,$E19)+LN(L$7)*$E19+LN(1-L$7)*($D19-$E19))</f>
        <v>1.0377469125116633E-79</v>
      </c>
      <c r="M19" s="102">
        <f>EXP(lncombin($B19,$C19)+LN(M$6)*$C19+LN(1-M$6)*($B19-$C19)+lncombin($D19,$E19)+LN(M$7)*$E19+LN(1-M$7)*($D19-$E19))</f>
        <v>1.9465732974966735E-68</v>
      </c>
      <c r="N19" s="102">
        <f>EXP(lncombin($B19,$C19)+LN(N$6)*$C19+LN(1-N$6)*($B19-$C19)+lncombin($D19,$E19)+LN(N$7)*$E19+LN(1-N$7)*($D19-$E19))</f>
        <v>2.2811615499371687E-58</v>
      </c>
      <c r="O19" s="102">
        <f>EXP(lncombin($B19,$C19)+LN(O$6)*$C19+LN(1-O$6)*($B19-$C19)+lncombin($D19,$E19)+LN(O$7)*$E19+LN(1-O$7)*($D19-$E19))</f>
        <v>2.8689451906496972E-49</v>
      </c>
      <c r="P19" s="102">
        <f>EXP(lncombin($B19,$C19)+LN(P$6)*$C19+LN(1-P$6)*($B19-$C19)+lncombin($D19,$E19)+LN(P$7)*$E19+LN(1-P$7)*($D19-$E19))</f>
        <v>5.5124863266997661E-41</v>
      </c>
      <c r="Q19" s="102">
        <f>EXP(lncombin($B19,$C19)+LN(Q$6)*$C19+LN(1-Q$6)*($B19-$C19)+lncombin($D19,$E19)+LN(Q$7)*$E19+LN(1-Q$7)*($D19-$E19))</f>
        <v>2.0487352216059386E-33</v>
      </c>
      <c r="R19" s="102">
        <f>EXP(lncombin($B19,$C19)+LN(R$6)*$C19+LN(1-R$6)*($B19-$C19)+lncombin($D19,$E19)+LN(R$7)*$E19+LN(1-R$7)*($D19-$E19))</f>
        <v>1.7030026523867211E-26</v>
      </c>
      <c r="S19" s="102">
        <f>EXP(lncombin($B19,$C19)+LN(S$6)*$C19+LN(1-S$6)*($B19-$C19)+lncombin($D19,$E19)+LN(S$7)*$E19+LN(1-S$7)*($D19-$E19))</f>
        <v>3.3383156029427267E-20</v>
      </c>
      <c r="T19" s="102">
        <f>EXP(lncombin($B19,$C19)+LN(T$6)*$C19+LN(1-T$6)*($B19-$C19)+lncombin($D19,$E19)+LN(T$7)*$E19+LN(1-T$7)*($D19-$E19))</f>
        <v>1.4444881657824474E-14</v>
      </c>
      <c r="U19" s="102">
        <f>EXP(lncombin($B19,$C19)+LN(U$6)*$C19+LN(1-U$6)*($B19-$C19)+lncombin($D19,$E19)+LN(U$7)*$E19+LN(1-U$7)*($D19-$E19))</f>
        <v>1.0877706343429596E-9</v>
      </c>
      <c r="V19" s="102">
        <f>EXP(lncombin($B19,$C19)+LN(V$6)*$C19+LN(1-V$6)*($B19-$C19)+lncombin($D19,$E19)+LN(V$7)*$E19+LN(1-V$7)*($D19-$E19))</f>
        <v>8.7585313983000765E-6</v>
      </c>
      <c r="W19" s="102">
        <f>EXP(lncombin($B19,$C19)+LN(W$6)*$C19+LN(1-W$6)*($B19-$C19)+lncombin($D19,$E19)+LN(W$7)*$E19+LN(1-W$7)*($D19-$E19))</f>
        <v>3.2754613426730752E-3</v>
      </c>
      <c r="X19" s="102">
        <f>EXP(lncombin($B19,$C19)+LN(X$6)*$C19+LN(1-X$6)*($B19-$C19)+lncombin($D19,$E19)+LN(X$7)*$E19+LN(1-X$7)*($D19-$E19))</f>
        <v>1.5756327432273221E-2</v>
      </c>
      <c r="Y19" s="102">
        <f>EXP(lncombin($B19,$C19)+LN(Y$6)*$C19+LN(1-Y$6)*($B19-$C19)+lncombin($D19,$E19)+LN(Y$7)*$E19+LN(1-Y$7)*($D19-$E19))</f>
        <v>1.5724379992346696E-4</v>
      </c>
      <c r="Z19" s="102">
        <f>EXP(lncombin($B19,$C19)+LN(Z$6)*$C19+LN(1-Z$6)*($B19-$C19)+lncombin($D19,$E19)+LN(Z$7)*$E19+LN(1-Z$7)*($D19-$E19))</f>
        <v>2.8849511702792198E-10</v>
      </c>
      <c r="AA19" s="102">
        <f>EXP(lncombin($B19,$C19)+LN(AA$6)*$C19+LN(1-AA$6)*($B19-$C19)+lncombin($D19,$E19)+LN(AA$7)*$E19+LN(1-AA$7)*($D19-$E19))</f>
        <v>4.6706764336619377E-21</v>
      </c>
      <c r="AB19" s="102">
        <f>EXP(lncombin($B19,$C19)+LN(AB$6)*$C19+LN(1-AB$6)*($B19-$C19)+lncombin($D19,$E19)+LN(AB$7)*$E19+LN(1-AB$7)*($D19-$E19))</f>
        <v>1.7825773411987773E-38</v>
      </c>
      <c r="AC19" s="102">
        <f>EXP(lncombin($B19,$C19)+LN(AC$6)*$C19+LN(1-AC$6)*($B19-$C19)+lncombin($D19,$E19)+LN(AC$7)*$E19+LN(1-AC$7)*($D19-$E19))</f>
        <v>2.5087837636223305E-64</v>
      </c>
      <c r="AD19" s="102">
        <f>EXP(lncombin($B19,$C19)+LN(AD$6)*$C19+LN(1-AD$6)*($B19-$C19)+lncombin($D19,$E19)+LN(AD$7)*$E19+LN(1-AD$7)*($D19-$E19))</f>
        <v>1.2481868887298676E-100</v>
      </c>
      <c r="AE19" s="102">
        <f>EXP(lncombin($B19,$C19)+LN(AE$6)*$C19+LN(1-AE$6)*($B19-$C19)+lncombin($D19,$E19)+LN(AE$7)*$E19+LN(1-AE$7)*($D19-$E19))</f>
        <v>1.2985836274514785E-149</v>
      </c>
      <c r="AF19" s="102">
        <f>EXP(lncombin($B19,$C19)+LN(AF$6)*$C19+LN(1-AF$6)*($B19-$C19)+lncombin($D19,$E19)+LN(AF$7)*$E19+LN(1-AF$7)*($D19-$E19))</f>
        <v>9.6511555628386859E-214</v>
      </c>
      <c r="AG19" s="102">
        <f>EXP(lncombin($B19,$C19)+LN(AG$6)*$C19+LN(1-AG$6)*($B19-$C19)+lncombin($D19,$E19)+LN(AG$7)*$E19+LN(1-AG$7)*($D19-$E19))</f>
        <v>8.4621329466026589E-296</v>
      </c>
      <c r="AH19" s="102">
        <f>EXP(lncombin($B19,$C19)+LN(AH$6)*$C19+LN(1-AH$6)*($B19-$C19)+lncombin($D19,$E19)+LN(AH$7)*$E19+LN(1-AH$7)*($D19-$E19))</f>
        <v>0</v>
      </c>
      <c r="AI19" s="102">
        <f>EXP(lncombin($B19,$C19)+LN(AI$6)*$C19+LN(1-AI$6)*($B19-$C19)+lncombin($D19,$E19)+LN(AI$7)*$E19+LN(1-AI$7)*($D19-$E19))</f>
        <v>0</v>
      </c>
      <c r="AJ19" s="102">
        <f>EXP(lncombin($B19,$C19)+LN(AJ$6)*$C19+LN(1-AJ$6)*($B19-$C19)+lncombin($D19,$E19)+LN(AJ$7)*$E19+LN(1-AJ$7)*($D19-$E19))</f>
        <v>0</v>
      </c>
      <c r="AK19" s="102">
        <f>EXP(lncombin($B19,$C19)+LN(AK$6)*$C19+LN(1-AK$6)*($B19-$C19)+lncombin($D19,$E19)+LN(AK$7)*$E19+LN(1-AK$7)*($D19-$E19))</f>
        <v>0</v>
      </c>
      <c r="AL19" s="102">
        <f>EXP(lncombin($B19,$C19)+LN(AL$6)*$C19+LN(1-AL$6)*($B19-$C19)+lncombin($D19,$E19)+LN(AL$7)*$E19+LN(1-AL$7)*($D19-$E19))</f>
        <v>0</v>
      </c>
      <c r="AM19" s="102">
        <f>EXP(lncombin($B19,$C19)+LN(AM$6)*$C19+LN(1-AM$6)*($B19-$C19)+lncombin($D19,$E19)+LN(AM$7)*$E19+LN(1-AM$7)*($D19-$E19))</f>
        <v>0</v>
      </c>
      <c r="AN19" s="102">
        <f>EXP(lncombin($B19,$C19)+LN(AN$6)*$C19+LN(1-AN$6)*($B19-$C19)+lncombin($D19,$E19)+LN(AN$7)*$E19+LN(1-AN$7)*($D19-$E19))</f>
        <v>0</v>
      </c>
    </row>
    <row r="20" spans="1:40">
      <c r="A20">
        <v>1997</v>
      </c>
      <c r="B20">
        <v>2490</v>
      </c>
      <c r="C20">
        <v>2</v>
      </c>
      <c r="D20" s="3">
        <v>997</v>
      </c>
      <c r="E20">
        <v>20</v>
      </c>
      <c r="G20" s="18">
        <f t="shared" si="2"/>
        <v>-5.5467145113420013</v>
      </c>
      <c r="H20" s="7"/>
      <c r="I20" s="102">
        <f>EXP(lncombin($B20,$C20)+LN(I$6)*$C20+LN(1-I$6)*($B20-$C20)+lncombin($D20,$E20)+LN(I$7)*$E20+LN(1-I$7)*($D20-$E20))</f>
        <v>4.6927820902618205E-162</v>
      </c>
      <c r="J20" s="102">
        <f>EXP(lncombin($B20,$C20)+LN(J$6)*$C20+LN(1-J$6)*($B20-$C20)+lncombin($D20,$E20)+LN(J$7)*$E20+LN(1-J$7)*($D20-$E20))</f>
        <v>2.1395010644751397E-137</v>
      </c>
      <c r="K20" s="102">
        <f>EXP(lncombin($B20,$C20)+LN(K$6)*$C20+LN(1-K$6)*($B20-$C20)+lncombin($D20,$E20)+LN(K$7)*$E20+LN(1-K$7)*($D20-$E20))</f>
        <v>3.9581563993345547E-118</v>
      </c>
      <c r="L20" s="102">
        <f>EXP(lncombin($B20,$C20)+LN(L$6)*$C20+LN(1-L$6)*($B20-$C20)+lncombin($D20,$E20)+LN(L$7)*$E20+LN(1-L$7)*($D20-$E20))</f>
        <v>8.0974927365625085E-102</v>
      </c>
      <c r="M20" s="102">
        <f>EXP(lncombin($B20,$C20)+LN(M$6)*$C20+LN(1-M$6)*($B20-$C20)+lncombin($D20,$E20)+LN(M$7)*$E20+LN(1-M$7)*($D20-$E20))</f>
        <v>1.6146554669963047E-87</v>
      </c>
      <c r="N20" s="102">
        <f>EXP(lncombin($B20,$C20)+LN(N$6)*$C20+LN(1-N$6)*($B20-$C20)+lncombin($D20,$E20)+LN(N$7)*$E20+LN(1-N$7)*($D20-$E20))</f>
        <v>9.7571227125836516E-75</v>
      </c>
      <c r="O20" s="102">
        <f>EXP(lncombin($B20,$C20)+LN(O$6)*$C20+LN(1-O$6)*($B20-$C20)+lncombin($D20,$E20)+LN(O$7)*$E20+LN(1-O$7)*($D20-$E20))</f>
        <v>3.5417775417072832E-63</v>
      </c>
      <c r="P20" s="102">
        <f>EXP(lncombin($B20,$C20)+LN(P$6)*$C20+LN(1-P$6)*($B20-$C20)+lncombin($D20,$E20)+LN(P$7)*$E20+LN(1-P$7)*($D20-$E20))</f>
        <v>1.2080851223574282E-52</v>
      </c>
      <c r="Q20" s="102">
        <f>EXP(lncombin($B20,$C20)+LN(Q$6)*$C20+LN(1-Q$6)*($B20-$C20)+lncombin($D20,$E20)+LN(Q$7)*$E20+LN(1-Q$7)*($D20-$E20))</f>
        <v>5.231043832292269E-43</v>
      </c>
      <c r="R20" s="102">
        <f>EXP(lncombin($B20,$C20)+LN(R$6)*$C20+LN(1-R$6)*($B20-$C20)+lncombin($D20,$E20)+LN(R$7)*$E20+LN(1-R$7)*($D20-$E20))</f>
        <v>3.4755437937620344E-34</v>
      </c>
      <c r="S20" s="102">
        <f>EXP(lncombin($B20,$C20)+LN(S$6)*$C20+LN(1-S$6)*($B20-$C20)+lncombin($D20,$E20)+LN(S$7)*$E20+LN(1-S$7)*($D20-$E20))</f>
        <v>3.83678372138819E-26</v>
      </c>
      <c r="T20" s="102">
        <f>EXP(lncombin($B20,$C20)+LN(T$6)*$C20+LN(1-T$6)*($B20-$C20)+lncombin($D20,$E20)+LN(T$7)*$E20+LN(1-T$7)*($D20-$E20))</f>
        <v>6.6371830242328868E-19</v>
      </c>
      <c r="U20" s="102">
        <f>EXP(lncombin($B20,$C20)+LN(U$6)*$C20+LN(1-U$6)*($B20-$C20)+lncombin($D20,$E20)+LN(U$7)*$E20+LN(1-U$7)*($D20-$E20))</f>
        <v>1.3947028869054209E-12</v>
      </c>
      <c r="V20" s="102">
        <f>EXP(lncombin($B20,$C20)+LN(V$6)*$C20+LN(1-V$6)*($B20-$C20)+lncombin($D20,$E20)+LN(V$7)*$E20+LN(1-V$7)*($D20-$E20))</f>
        <v>2.0800199092821428E-7</v>
      </c>
      <c r="W20" s="102">
        <f>EXP(lncombin($B20,$C20)+LN(W$6)*$C20+LN(1-W$6)*($B20-$C20)+lncombin($D20,$E20)+LN(W$7)*$E20+LN(1-W$7)*($D20-$E20))</f>
        <v>8.6958161187439134E-4</v>
      </c>
      <c r="X20" s="102">
        <f>EXP(lncombin($B20,$C20)+LN(X$6)*$C20+LN(1-X$6)*($B20-$C20)+lncombin($D20,$E20)+LN(X$7)*$E20+LN(1-X$7)*($D20-$E20))</f>
        <v>2.4233138703507118E-2</v>
      </c>
      <c r="Y20" s="102">
        <f>EXP(lncombin($B20,$C20)+LN(Y$6)*$C20+LN(1-Y$6)*($B20-$C20)+lncombin($D20,$E20)+LN(Y$7)*$E20+LN(1-Y$7)*($D20-$E20))</f>
        <v>5.8227032989004483E-4</v>
      </c>
      <c r="Z20" s="102">
        <f>EXP(lncombin($B20,$C20)+LN(Z$6)*$C20+LN(1-Z$6)*($B20-$C20)+lncombin($D20,$E20)+LN(Z$7)*$E20+LN(1-Z$7)*($D20-$E20))</f>
        <v>7.9515533179248969E-10</v>
      </c>
      <c r="AA20" s="102">
        <f>EXP(lncombin($B20,$C20)+LN(AA$6)*$C20+LN(1-AA$6)*($B20-$C20)+lncombin($D20,$E20)+LN(AA$7)*$E20+LN(1-AA$7)*($D20-$E20))</f>
        <v>2.0405495777394835E-21</v>
      </c>
      <c r="AB20" s="102">
        <f>EXP(lncombin($B20,$C20)+LN(AB$6)*$C20+LN(1-AB$6)*($B20-$C20)+lncombin($D20,$E20)+LN(AB$7)*$E20+LN(1-AB$7)*($D20-$E20))</f>
        <v>1.6829490282370531E-40</v>
      </c>
      <c r="AC20" s="102">
        <f>EXP(lncombin($B20,$C20)+LN(AC$6)*$C20+LN(1-AC$6)*($B20-$C20)+lncombin($D20,$E20)+LN(AC$7)*$E20+LN(1-AC$7)*($D20-$E20))</f>
        <v>4.1788065325071278E-69</v>
      </c>
      <c r="AD20" s="102">
        <f>EXP(lncombin($B20,$C20)+LN(AD$6)*$C20+LN(1-AD$6)*($B20-$C20)+lncombin($D20,$E20)+LN(AD$7)*$E20+LN(1-AD$7)*($D20-$E20))</f>
        <v>1.6873000544351702E-109</v>
      </c>
      <c r="AE20" s="102">
        <f>EXP(lncombin($B20,$C20)+LN(AE$6)*$C20+LN(1-AE$6)*($B20-$C20)+lncombin($D20,$E20)+LN(AE$7)*$E20+LN(1-AE$7)*($D20-$E20))</f>
        <v>3.4778048948214015E-164</v>
      </c>
      <c r="AF20" s="102">
        <f>EXP(lncombin($B20,$C20)+LN(AF$6)*$C20+LN(1-AF$6)*($B20-$C20)+lncombin($D20,$E20)+LN(AF$7)*$E20+LN(1-AF$7)*($D20-$E20))</f>
        <v>6.1987957903290055E-236</v>
      </c>
      <c r="AG20" s="102">
        <f>EXP(lncombin($B20,$C20)+LN(AG$6)*$C20+LN(1-AG$6)*($B20-$C20)+lncombin($D20,$E20)+LN(AG$7)*$E20+LN(1-AG$7)*($D20-$E20))</f>
        <v>0</v>
      </c>
      <c r="AH20" s="102">
        <f>EXP(lncombin($B20,$C20)+LN(AH$6)*$C20+LN(1-AH$6)*($B20-$C20)+lncombin($D20,$E20)+LN(AH$7)*$E20+LN(1-AH$7)*($D20-$E20))</f>
        <v>0</v>
      </c>
      <c r="AI20" s="102">
        <f>EXP(lncombin($B20,$C20)+LN(AI$6)*$C20+LN(1-AI$6)*($B20-$C20)+lncombin($D20,$E20)+LN(AI$7)*$E20+LN(1-AI$7)*($D20-$E20))</f>
        <v>0</v>
      </c>
      <c r="AJ20" s="102">
        <f>EXP(lncombin($B20,$C20)+LN(AJ$6)*$C20+LN(1-AJ$6)*($B20-$C20)+lncombin($D20,$E20)+LN(AJ$7)*$E20+LN(1-AJ$7)*($D20-$E20))</f>
        <v>0</v>
      </c>
      <c r="AK20" s="102">
        <f>EXP(lncombin($B20,$C20)+LN(AK$6)*$C20+LN(1-AK$6)*($B20-$C20)+lncombin($D20,$E20)+LN(AK$7)*$E20+LN(1-AK$7)*($D20-$E20))</f>
        <v>0</v>
      </c>
      <c r="AL20" s="102">
        <f>EXP(lncombin($B20,$C20)+LN(AL$6)*$C20+LN(1-AL$6)*($B20-$C20)+lncombin($D20,$E20)+LN(AL$7)*$E20+LN(1-AL$7)*($D20-$E20))</f>
        <v>0</v>
      </c>
      <c r="AM20" s="102">
        <f>EXP(lncombin($B20,$C20)+LN(AM$6)*$C20+LN(1-AM$6)*($B20-$C20)+lncombin($D20,$E20)+LN(AM$7)*$E20+LN(1-AM$7)*($D20-$E20))</f>
        <v>0</v>
      </c>
      <c r="AN20" s="102">
        <f>EXP(lncombin($B20,$C20)+LN(AN$6)*$C20+LN(1-AN$6)*($B20-$C20)+lncombin($D20,$E20)+LN(AN$7)*$E20+LN(1-AN$7)*($D20-$E20))</f>
        <v>0</v>
      </c>
    </row>
    <row r="21" spans="1:40">
      <c r="A21">
        <v>1998</v>
      </c>
      <c r="B21">
        <v>2764</v>
      </c>
      <c r="C21">
        <v>4</v>
      </c>
      <c r="D21" s="3">
        <v>1309</v>
      </c>
      <c r="E21">
        <v>48</v>
      </c>
      <c r="G21" s="18">
        <f t="shared" si="2"/>
        <v>-6.7651745845423603</v>
      </c>
      <c r="H21" s="7"/>
      <c r="I21" s="102">
        <f>EXP(lncombin($B21,$C21)+LN(I$6)*$C21+LN(1-I$6)*($B21-$C21)+lncombin($D21,$E21)+LN(I$7)*$E21+LN(1-I$7)*($D21-$E21))</f>
        <v>0</v>
      </c>
      <c r="J21" s="102">
        <f>EXP(lncombin($B21,$C21)+LN(J$6)*$C21+LN(1-J$6)*($B21-$C21)+lncombin($D21,$E21)+LN(J$7)*$E21+LN(1-J$7)*($D21-$E21))</f>
        <v>0</v>
      </c>
      <c r="K21" s="102">
        <f>EXP(lncombin($B21,$C21)+LN(K$6)*$C21+LN(1-K$6)*($B21-$C21)+lncombin($D21,$E21)+LN(K$7)*$E21+LN(1-K$7)*($D21-$E21))</f>
        <v>1.0268398773123041E-293</v>
      </c>
      <c r="L21" s="102">
        <f>EXP(lncombin($B21,$C21)+LN(L$6)*$C21+LN(1-L$6)*($B21-$C21)+lncombin($D21,$E21)+LN(L$7)*$E21+LN(1-L$7)*($D21-$E21))</f>
        <v>1.242981394887818E-254</v>
      </c>
      <c r="M21" s="102">
        <f>EXP(lncombin($B21,$C21)+LN(M$6)*$C21+LN(1-M$6)*($B21-$C21)+lncombin($D21,$E21)+LN(M$7)*$E21+LN(1-M$7)*($D21-$E21))</f>
        <v>2.3068117531968453E-220</v>
      </c>
      <c r="N21" s="102">
        <f>EXP(lncombin($B21,$C21)+LN(N$6)*$C21+LN(1-N$6)*($B21-$C21)+lncombin($D21,$E21)+LN(N$7)*$E21+LN(1-N$7)*($D21-$E21))</f>
        <v>9.9669848912814273E-190</v>
      </c>
      <c r="O21" s="102">
        <f>EXP(lncombin($B21,$C21)+LN(O$6)*$C21+LN(1-O$6)*($B21-$C21)+lncombin($D21,$E21)+LN(O$7)*$E21+LN(1-O$7)*($D21-$E21))</f>
        <v>5.1896532813933405E-162</v>
      </c>
      <c r="P21" s="102">
        <f>EXP(lncombin($B21,$C21)+LN(P$6)*$C21+LN(1-P$6)*($B21-$C21)+lncombin($D21,$E21)+LN(P$7)*$E21+LN(1-P$7)*($D21-$E21))</f>
        <v>9.6134354076152454E-137</v>
      </c>
      <c r="Q21" s="102">
        <f>EXP(lncombin($B21,$C21)+LN(Q$6)*$C21+LN(1-Q$6)*($B21-$C21)+lncombin($D21,$E21)+LN(Q$7)*$E21+LN(1-Q$7)*($D21-$E21))</f>
        <v>1.3342223233271344E-113</v>
      </c>
      <c r="R21" s="102">
        <f>EXP(lncombin($B21,$C21)+LN(R$6)*$C21+LN(1-R$6)*($B21-$C21)+lncombin($D21,$E21)+LN(R$7)*$E21+LN(1-R$7)*($D21-$E21))</f>
        <v>2.3051596112652617E-92</v>
      </c>
      <c r="S21" s="102">
        <f>EXP(lncombin($B21,$C21)+LN(S$6)*$C21+LN(1-S$6)*($B21-$C21)+lncombin($D21,$E21)+LN(S$7)*$E21+LN(1-S$7)*($D21-$E21))</f>
        <v>6.7153685364102157E-73</v>
      </c>
      <c r="T21" s="102">
        <f>EXP(lncombin($B21,$C21)+LN(T$6)*$C21+LN(1-T$6)*($B21-$C21)+lncombin($D21,$E21)+LN(T$7)*$E21+LN(1-T$7)*($D21-$E21))</f>
        <v>3.5786530703377282E-55</v>
      </c>
      <c r="U21" s="102">
        <f>EXP(lncombin($B21,$C21)+LN(U$6)*$C21+LN(1-U$6)*($B21-$C21)+lncombin($D21,$E21)+LN(U$7)*$E21+LN(1-U$7)*($D21-$E21))</f>
        <v>2.8471022697060204E-39</v>
      </c>
      <c r="V21" s="102">
        <f>EXP(lncombin($B21,$C21)+LN(V$6)*$C21+LN(1-V$6)*($B21-$C21)+lncombin($D21,$E21)+LN(V$7)*$E21+LN(1-V$7)*($D21-$E21))</f>
        <v>1.8712676678929099E-25</v>
      </c>
      <c r="W21" s="102">
        <f>EXP(lncombin($B21,$C21)+LN(W$6)*$C21+LN(1-W$6)*($B21-$C21)+lncombin($D21,$E21)+LN(W$7)*$E21+LN(1-W$7)*($D21-$E21))</f>
        <v>3.3316886417425182E-14</v>
      </c>
      <c r="X21" s="102">
        <f>EXP(lncombin($B21,$C21)+LN(X$6)*$C21+LN(1-X$6)*($B21-$C21)+lncombin($D21,$E21)+LN(X$7)*$E21+LN(1-X$7)*($D21-$E21))</f>
        <v>2.699370549181197E-6</v>
      </c>
      <c r="Y21" s="102">
        <f>EXP(lncombin($B21,$C21)+LN(Y$6)*$C21+LN(1-Y$6)*($B21-$C21)+lncombin($D21,$E21)+LN(Y$7)*$E21+LN(1-Y$7)*($D21-$E21))</f>
        <v>7.5366090067443339E-3</v>
      </c>
      <c r="Z21" s="102">
        <f>EXP(lncombin($B21,$C21)+LN(Z$6)*$C21+LN(1-Z$6)*($B21-$C21)+lncombin($D21,$E21)+LN(Z$7)*$E21+LN(1-Z$7)*($D21-$E21))</f>
        <v>2.2809212307350395E-5</v>
      </c>
      <c r="AA21" s="102">
        <f>EXP(lncombin($B21,$C21)+LN(AA$6)*$C21+LN(1-AA$6)*($B21-$C21)+lncombin($D21,$E21)+LN(AA$7)*$E21+LN(1-AA$7)*($D21-$E21))</f>
        <v>9.5988514315711343E-16</v>
      </c>
      <c r="AB21" s="102">
        <f>EXP(lncombin($B21,$C21)+LN(AB$6)*$C21+LN(1-AB$6)*($B21-$C21)+lncombin($D21,$E21)+LN(AB$7)*$E21+LN(1-AB$7)*($D21-$E21))</f>
        <v>3.0626733114300128E-36</v>
      </c>
      <c r="AC21" s="102">
        <f>EXP(lncombin($B21,$C21)+LN(AC$6)*$C21+LN(1-AC$6)*($B21-$C21)+lncombin($D21,$E21)+LN(AC$7)*$E21+LN(1-AC$7)*($D21-$E21))</f>
        <v>1.8519246814547516E-69</v>
      </c>
      <c r="AD21" s="102">
        <f>EXP(lncombin($B21,$C21)+LN(AD$6)*$C21+LN(1-AD$6)*($B21-$C21)+lncombin($D21,$E21)+LN(AD$7)*$E21+LN(1-AD$7)*($D21-$E21))</f>
        <v>2.603023807496951E-118</v>
      </c>
      <c r="AE21" s="102">
        <f>EXP(lncombin($B21,$C21)+LN(AE$6)*$C21+LN(1-AE$6)*($B21-$C21)+lncombin($D21,$E21)+LN(AE$7)*$E21+LN(1-AE$7)*($D21-$E21))</f>
        <v>5.1816121328573688E-186</v>
      </c>
      <c r="AF21" s="102">
        <f>EXP(lncombin($B21,$C21)+LN(AF$6)*$C21+LN(1-AF$6)*($B21-$C21)+lncombin($D21,$E21)+LN(AF$7)*$E21+LN(1-AF$7)*($D21-$E21))</f>
        <v>4.0262880347993469E-276</v>
      </c>
      <c r="AG21" s="102">
        <f>EXP(lncombin($B21,$C21)+LN(AG$6)*$C21+LN(1-AG$6)*($B21-$C21)+lncombin($D21,$E21)+LN(AG$7)*$E21+LN(1-AG$7)*($D21-$E21))</f>
        <v>0</v>
      </c>
      <c r="AH21" s="102">
        <f>EXP(lncombin($B21,$C21)+LN(AH$6)*$C21+LN(1-AH$6)*($B21-$C21)+lncombin($D21,$E21)+LN(AH$7)*$E21+LN(1-AH$7)*($D21-$E21))</f>
        <v>0</v>
      </c>
      <c r="AI21" s="102">
        <f>EXP(lncombin($B21,$C21)+LN(AI$6)*$C21+LN(1-AI$6)*($B21-$C21)+lncombin($D21,$E21)+LN(AI$7)*$E21+LN(1-AI$7)*($D21-$E21))</f>
        <v>0</v>
      </c>
      <c r="AJ21" s="102">
        <f>EXP(lncombin($B21,$C21)+LN(AJ$6)*$C21+LN(1-AJ$6)*($B21-$C21)+lncombin($D21,$E21)+LN(AJ$7)*$E21+LN(1-AJ$7)*($D21-$E21))</f>
        <v>0</v>
      </c>
      <c r="AK21" s="102">
        <f>EXP(lncombin($B21,$C21)+LN(AK$6)*$C21+LN(1-AK$6)*($B21-$C21)+lncombin($D21,$E21)+LN(AK$7)*$E21+LN(1-AK$7)*($D21-$E21))</f>
        <v>0</v>
      </c>
      <c r="AL21" s="102">
        <f>EXP(lncombin($B21,$C21)+LN(AL$6)*$C21+LN(1-AL$6)*($B21-$C21)+lncombin($D21,$E21)+LN(AL$7)*$E21+LN(1-AL$7)*($D21-$E21))</f>
        <v>0</v>
      </c>
      <c r="AM21" s="102">
        <f>EXP(lncombin($B21,$C21)+LN(AM$6)*$C21+LN(1-AM$6)*($B21-$C21)+lncombin($D21,$E21)+LN(AM$7)*$E21+LN(1-AM$7)*($D21-$E21))</f>
        <v>0</v>
      </c>
      <c r="AN21" s="102">
        <f>EXP(lncombin($B21,$C21)+LN(AN$6)*$C21+LN(1-AN$6)*($B21-$C21)+lncombin($D21,$E21)+LN(AN$7)*$E21+LN(1-AN$7)*($D21-$E21))</f>
        <v>0</v>
      </c>
    </row>
    <row r="22" spans="1:40">
      <c r="A22">
        <v>1999</v>
      </c>
      <c r="B22">
        <v>2870</v>
      </c>
      <c r="C22">
        <v>5</v>
      </c>
      <c r="D22" s="3">
        <v>1654</v>
      </c>
      <c r="E22">
        <v>92</v>
      </c>
      <c r="G22" s="18">
        <f t="shared" si="2"/>
        <v>-7.4614915490576417</v>
      </c>
      <c r="H22" s="7"/>
      <c r="I22" s="102">
        <f>EXP(lncombin($B22,$C22)+LN(I$6)*$C22+LN(1-I$6)*($B22-$C22)+lncombin($D22,$E22)+LN(I$7)*$E22+LN(1-I$7)*($D22-$E22))</f>
        <v>0</v>
      </c>
      <c r="J22" s="102">
        <f>EXP(lncombin($B22,$C22)+LN(J$6)*$C22+LN(1-J$6)*($B22-$C22)+lncombin($D22,$E22)+LN(J$7)*$E22+LN(1-J$7)*($D22-$E22))</f>
        <v>0</v>
      </c>
      <c r="K22" s="102">
        <f>EXP(lncombin($B22,$C22)+LN(K$6)*$C22+LN(1-K$6)*($B22-$C22)+lncombin($D22,$E22)+LN(K$7)*$E22+LN(1-K$7)*($D22-$E22))</f>
        <v>0</v>
      </c>
      <c r="L22" s="102">
        <f>EXP(lncombin($B22,$C22)+LN(L$6)*$C22+LN(1-L$6)*($B22-$C22)+lncombin($D22,$E22)+LN(L$7)*$E22+LN(1-L$7)*($D22-$E22))</f>
        <v>0</v>
      </c>
      <c r="M22" s="102">
        <f>EXP(lncombin($B22,$C22)+LN(M$6)*$C22+LN(1-M$6)*($B22-$C22)+lncombin($D22,$E22)+LN(M$7)*$E22+LN(1-M$7)*($D22-$E22))</f>
        <v>0</v>
      </c>
      <c r="N22" s="102">
        <f>EXP(lncombin($B22,$C22)+LN(N$6)*$C22+LN(1-N$6)*($B22-$C22)+lncombin($D22,$E22)+LN(N$7)*$E22+LN(1-N$7)*($D22-$E22))</f>
        <v>0</v>
      </c>
      <c r="O22" s="102">
        <f>EXP(lncombin($B22,$C22)+LN(O$6)*$C22+LN(1-O$6)*($B22-$C22)+lncombin($D22,$E22)+LN(O$7)*$E22+LN(1-O$7)*($D22-$E22))</f>
        <v>0</v>
      </c>
      <c r="P22" s="102">
        <f>EXP(lncombin($B22,$C22)+LN(P$6)*$C22+LN(1-P$6)*($B22-$C22)+lncombin($D22,$E22)+LN(P$7)*$E22+LN(1-P$7)*($D22-$E22))</f>
        <v>6.5620084399699099E-276</v>
      </c>
      <c r="Q22" s="102">
        <f>EXP(lncombin($B22,$C22)+LN(Q$6)*$C22+LN(1-Q$6)*($B22-$C22)+lncombin($D22,$E22)+LN(Q$7)*$E22+LN(1-Q$7)*($D22-$E22))</f>
        <v>1.0331404878885482E-231</v>
      </c>
      <c r="R22" s="102">
        <f>EXP(lncombin($B22,$C22)+LN(R$6)*$C22+LN(1-R$6)*($B22-$C22)+lncombin($D22,$E22)+LN(R$7)*$E22+LN(1-R$7)*($D22-$E22))</f>
        <v>4.0207212835533128E-191</v>
      </c>
      <c r="S22" s="102">
        <f>EXP(lncombin($B22,$C22)+LN(S$6)*$C22+LN(1-S$6)*($B22-$C22)+lncombin($D22,$E22)+LN(S$7)*$E22+LN(1-S$7)*($D22-$E22))</f>
        <v>7.5439748289528486E-154</v>
      </c>
      <c r="T22" s="102">
        <f>EXP(lncombin($B22,$C22)+LN(T$6)*$C22+LN(1-T$6)*($B22-$C22)+lncombin($D22,$E22)+LN(T$7)*$E22+LN(1-T$7)*($D22-$E22))</f>
        <v>9.4878909845727923E-120</v>
      </c>
      <c r="U22" s="102">
        <f>EXP(lncombin($B22,$C22)+LN(U$6)*$C22+LN(1-U$6)*($B22-$C22)+lncombin($D22,$E22)+LN(U$7)*$E22+LN(1-U$7)*($D22-$E22))</f>
        <v>7.4640150914317384E-89</v>
      </c>
      <c r="V22" s="102">
        <f>EXP(lncombin($B22,$C22)+LN(V$6)*$C22+LN(1-V$6)*($B22-$C22)+lncombin($D22,$E22)+LN(V$7)*$E22+LN(1-V$7)*($D22-$E22))</f>
        <v>2.0465332382649412E-61</v>
      </c>
      <c r="W22" s="102">
        <f>EXP(lncombin($B22,$C22)+LN(W$6)*$C22+LN(1-W$6)*($B22-$C22)+lncombin($D22,$E22)+LN(W$7)*$E22+LN(1-W$7)*($D22-$E22))</f>
        <v>5.5514457912584015E-38</v>
      </c>
      <c r="X22" s="102">
        <f>EXP(lncombin($B22,$C22)+LN(X$6)*$C22+LN(1-X$6)*($B22-$C22)+lncombin($D22,$E22)+LN(X$7)*$E22+LN(1-X$7)*($D22-$E22))</f>
        <v>1.8096386067697076E-19</v>
      </c>
      <c r="Y22" s="102">
        <f>EXP(lncombin($B22,$C22)+LN(Y$6)*$C22+LN(1-Y$6)*($B22-$C22)+lncombin($D22,$E22)+LN(Y$7)*$E22+LN(1-Y$7)*($D22-$E22))</f>
        <v>3.1586630193355134E-7</v>
      </c>
      <c r="Z22" s="102">
        <f>EXP(lncombin($B22,$C22)+LN(Z$6)*$C22+LN(1-Z$6)*($B22-$C22)+lncombin($D22,$E22)+LN(Z$7)*$E22+LN(1-Z$7)*($D22-$E22))</f>
        <v>4.3758603175134752E-3</v>
      </c>
      <c r="AA22" s="102">
        <f>EXP(lncombin($B22,$C22)+LN(AA$6)*$C22+LN(1-AA$6)*($B22-$C22)+lncombin($D22,$E22)+LN(AA$7)*$E22+LN(1-AA$7)*($D22-$E22))</f>
        <v>2.3255420297639114E-9</v>
      </c>
      <c r="AB22" s="102">
        <f>EXP(lncombin($B22,$C22)+LN(AB$6)*$C22+LN(1-AB$6)*($B22-$C22)+lncombin($D22,$E22)+LN(AB$7)*$E22+LN(1-AB$7)*($D22-$E22))</f>
        <v>7.8862434431108053E-29</v>
      </c>
      <c r="AC22" s="102">
        <f>EXP(lncombin($B22,$C22)+LN(AC$6)*$C22+LN(1-AC$6)*($B22-$C22)+lncombin($D22,$E22)+LN(AC$7)*$E22+LN(1-AC$7)*($D22-$E22))</f>
        <v>1.075337389139655E-64</v>
      </c>
      <c r="AD22" s="102">
        <f>EXP(lncombin($B22,$C22)+LN(AD$6)*$C22+LN(1-AD$6)*($B22-$C22)+lncombin($D22,$E22)+LN(AD$7)*$E22+LN(1-AD$7)*($D22-$E22))</f>
        <v>1.5351524911925745E-120</v>
      </c>
      <c r="AE22" s="102">
        <f>EXP(lncombin($B22,$C22)+LN(AE$6)*$C22+LN(1-AE$6)*($B22-$C22)+lncombin($D22,$E22)+LN(AE$7)*$E22+LN(1-AE$7)*($D22-$E22))</f>
        <v>2.5131272705324809E-200</v>
      </c>
      <c r="AF22" s="102">
        <f>EXP(lncombin($B22,$C22)+LN(AF$6)*$C22+LN(1-AF$6)*($B22-$C22)+lncombin($D22,$E22)+LN(AF$7)*$E22+LN(1-AF$7)*($D22-$E22))</f>
        <v>0</v>
      </c>
      <c r="AG22" s="102">
        <f>EXP(lncombin($B22,$C22)+LN(AG$6)*$C22+LN(1-AG$6)*($B22-$C22)+lncombin($D22,$E22)+LN(AG$7)*$E22+LN(1-AG$7)*($D22-$E22))</f>
        <v>0</v>
      </c>
      <c r="AH22" s="102">
        <f>EXP(lncombin($B22,$C22)+LN(AH$6)*$C22+LN(1-AH$6)*($B22-$C22)+lncombin($D22,$E22)+LN(AH$7)*$E22+LN(1-AH$7)*($D22-$E22))</f>
        <v>0</v>
      </c>
      <c r="AI22" s="102">
        <f>EXP(lncombin($B22,$C22)+LN(AI$6)*$C22+LN(1-AI$6)*($B22-$C22)+lncombin($D22,$E22)+LN(AI$7)*$E22+LN(1-AI$7)*($D22-$E22))</f>
        <v>0</v>
      </c>
      <c r="AJ22" s="102">
        <f>EXP(lncombin($B22,$C22)+LN(AJ$6)*$C22+LN(1-AJ$6)*($B22-$C22)+lncombin($D22,$E22)+LN(AJ$7)*$E22+LN(1-AJ$7)*($D22-$E22))</f>
        <v>0</v>
      </c>
      <c r="AK22" s="102">
        <f>EXP(lncombin($B22,$C22)+LN(AK$6)*$C22+LN(1-AK$6)*($B22-$C22)+lncombin($D22,$E22)+LN(AK$7)*$E22+LN(1-AK$7)*($D22-$E22))</f>
        <v>0</v>
      </c>
      <c r="AL22" s="102">
        <f>EXP(lncombin($B22,$C22)+LN(AL$6)*$C22+LN(1-AL$6)*($B22-$C22)+lncombin($D22,$E22)+LN(AL$7)*$E22+LN(1-AL$7)*($D22-$E22))</f>
        <v>0</v>
      </c>
      <c r="AM22" s="102">
        <f>EXP(lncombin($B22,$C22)+LN(AM$6)*$C22+LN(1-AM$6)*($B22-$C22)+lncombin($D22,$E22)+LN(AM$7)*$E22+LN(1-AM$7)*($D22-$E22))</f>
        <v>0</v>
      </c>
      <c r="AN22" s="102">
        <f>EXP(lncombin($B22,$C22)+LN(AN$6)*$C22+LN(1-AN$6)*($B22-$C22)+lncombin($D22,$E22)+LN(AN$7)*$E22+LN(1-AN$7)*($D22-$E22))</f>
        <v>0</v>
      </c>
    </row>
    <row r="23" spans="1:40">
      <c r="A23">
        <v>2000</v>
      </c>
      <c r="B23">
        <v>2927</v>
      </c>
      <c r="C23">
        <v>7</v>
      </c>
      <c r="D23" s="3">
        <v>1750</v>
      </c>
      <c r="E23">
        <v>109</v>
      </c>
      <c r="G23" s="18">
        <f t="shared" si="2"/>
        <v>-9.1910661374690044</v>
      </c>
      <c r="H23" s="7"/>
      <c r="I23" s="102">
        <f>EXP(lncombin($B23,$C23)+LN(I$6)*$C23+LN(1-I$6)*($B23-$C23)+lncombin($D23,$E23)+LN(I$7)*$E23+LN(1-I$7)*($D23-$E23))</f>
        <v>0</v>
      </c>
      <c r="J23" s="102">
        <f>EXP(lncombin($B23,$C23)+LN(J$6)*$C23+LN(1-J$6)*($B23-$C23)+lncombin($D23,$E23)+LN(J$7)*$E23+LN(1-J$7)*($D23-$E23))</f>
        <v>0</v>
      </c>
      <c r="K23" s="102">
        <f>EXP(lncombin($B23,$C23)+LN(K$6)*$C23+LN(1-K$6)*($B23-$C23)+lncombin($D23,$E23)+LN(K$7)*$E23+LN(1-K$7)*($D23-$E23))</f>
        <v>0</v>
      </c>
      <c r="L23" s="102">
        <f>EXP(lncombin($B23,$C23)+LN(L$6)*$C23+LN(1-L$6)*($B23-$C23)+lncombin($D23,$E23)+LN(L$7)*$E23+LN(1-L$7)*($D23-$E23))</f>
        <v>0</v>
      </c>
      <c r="M23" s="102">
        <f>EXP(lncombin($B23,$C23)+LN(M$6)*$C23+LN(1-M$6)*($B23-$C23)+lncombin($D23,$E23)+LN(M$7)*$E23+LN(1-M$7)*($D23-$E23))</f>
        <v>0</v>
      </c>
      <c r="N23" s="102">
        <f>EXP(lncombin($B23,$C23)+LN(N$6)*$C23+LN(1-N$6)*($B23-$C23)+lncombin($D23,$E23)+LN(N$7)*$E23+LN(1-N$7)*($D23-$E23))</f>
        <v>0</v>
      </c>
      <c r="O23" s="102">
        <f>EXP(lncombin($B23,$C23)+LN(O$6)*$C23+LN(1-O$6)*($B23-$C23)+lncombin($D23,$E23)+LN(O$7)*$E23+LN(1-O$7)*($D23-$E23))</f>
        <v>0</v>
      </c>
      <c r="P23" s="102">
        <f>EXP(lncombin($B23,$C23)+LN(P$6)*$C23+LN(1-P$6)*($B23-$C23)+lncombin($D23,$E23)+LN(P$7)*$E23+LN(1-P$7)*($D23-$E23))</f>
        <v>0</v>
      </c>
      <c r="Q23" s="102">
        <f>EXP(lncombin($B23,$C23)+LN(Q$6)*$C23+LN(1-Q$6)*($B23-$C23)+lncombin($D23,$E23)+LN(Q$7)*$E23+LN(1-Q$7)*($D23-$E23))</f>
        <v>5.3881783000414869E-281</v>
      </c>
      <c r="R23" s="102">
        <f>EXP(lncombin($B23,$C23)+LN(R$6)*$C23+LN(1-R$6)*($B23-$C23)+lncombin($D23,$E23)+LN(R$7)*$E23+LN(1-R$7)*($D23-$E23))</f>
        <v>8.5046975011650795E-233</v>
      </c>
      <c r="S23" s="102">
        <f>EXP(lncombin($B23,$C23)+LN(S$6)*$C23+LN(1-S$6)*($B23-$C23)+lncombin($D23,$E23)+LN(S$7)*$E23+LN(1-S$7)*($D23-$E23))</f>
        <v>1.6350836161790811E-188</v>
      </c>
      <c r="T23" s="102">
        <f>EXP(lncombin($B23,$C23)+LN(T$6)*$C23+LN(1-T$6)*($B23-$C23)+lncombin($D23,$E23)+LN(T$7)*$E23+LN(1-T$7)*($D23-$E23))</f>
        <v>5.9110131962533151E-148</v>
      </c>
      <c r="U23" s="102">
        <f>EXP(lncombin($B23,$C23)+LN(U$6)*$C23+LN(1-U$6)*($B23-$C23)+lncombin($D23,$E23)+LN(U$7)*$E23+LN(1-U$7)*($D23-$E23))</f>
        <v>4.0084037761314322E-111</v>
      </c>
      <c r="V23" s="102">
        <f>EXP(lncombin($B23,$C23)+LN(V$6)*$C23+LN(1-V$6)*($B23-$C23)+lncombin($D23,$E23)+LN(V$7)*$E23+LN(1-V$7)*($D23-$E23))</f>
        <v>2.9200098288701064E-78</v>
      </c>
      <c r="W23" s="102">
        <f>EXP(lncombin($B23,$C23)+LN(W$6)*$C23+LN(1-W$6)*($B23-$C23)+lncombin($D23,$E23)+LN(W$7)*$E23+LN(1-W$7)*($D23-$E23))</f>
        <v>6.3781877068779908E-50</v>
      </c>
      <c r="X23" s="102">
        <f>EXP(lncombin($B23,$C23)+LN(X$6)*$C23+LN(1-X$6)*($B23-$C23)+lncombin($D23,$E23)+LN(X$7)*$E23+LN(1-X$7)*($D23-$E23))</f>
        <v>4.7425901063170964E-27</v>
      </c>
      <c r="Y23" s="102">
        <f>EXP(lncombin($B23,$C23)+LN(Y$6)*$C23+LN(1-Y$6)*($B23-$C23)+lncombin($D23,$E23)+LN(Y$7)*$E23+LN(1-Y$7)*($D23-$E23))</f>
        <v>4.7230159687267803E-11</v>
      </c>
      <c r="Z23" s="102">
        <f>EXP(lncombin($B23,$C23)+LN(Z$6)*$C23+LN(1-Z$6)*($B23-$C23)+lncombin($D23,$E23)+LN(Z$7)*$E23+LN(1-Z$7)*($D23-$E23))</f>
        <v>7.7610832560814447E-4</v>
      </c>
      <c r="AA23" s="102">
        <f>EXP(lncombin($B23,$C23)+LN(AA$6)*$C23+LN(1-AA$6)*($B23-$C23)+lncombin($D23,$E23)+LN(AA$7)*$E23+LN(1-AA$7)*($D23-$E23))</f>
        <v>7.9587764975726212E-8</v>
      </c>
      <c r="AB23" s="102">
        <f>EXP(lncombin($B23,$C23)+LN(AB$6)*$C23+LN(1-AB$6)*($B23-$C23)+lncombin($D23,$E23)+LN(AB$7)*$E23+LN(1-AB$7)*($D23-$E23))</f>
        <v>6.2637297467248968E-26</v>
      </c>
      <c r="AC23" s="102">
        <f>EXP(lncombin($B23,$C23)+LN(AC$6)*$C23+LN(1-AC$6)*($B23-$C23)+lncombin($D23,$E23)+LN(AC$7)*$E23+LN(1-AC$7)*($D23-$E23))</f>
        <v>1.6752636147039207E-61</v>
      </c>
      <c r="AD23" s="102">
        <f>EXP(lncombin($B23,$C23)+LN(AD$6)*$C23+LN(1-AD$6)*($B23-$C23)+lncombin($D23,$E23)+LN(AD$7)*$E23+LN(1-AD$7)*($D23-$E23))</f>
        <v>2.6618208432439334E-118</v>
      </c>
      <c r="AE23" s="102">
        <f>EXP(lncombin($B23,$C23)+LN(AE$6)*$C23+LN(1-AE$6)*($B23-$C23)+lncombin($D23,$E23)+LN(AE$7)*$E23+LN(1-AE$7)*($D23-$E23))</f>
        <v>1.7688507516219145E-200</v>
      </c>
      <c r="AF23" s="102">
        <f>EXP(lncombin($B23,$C23)+LN(AF$6)*$C23+LN(1-AF$6)*($B23-$C23)+lncombin($D23,$E23)+LN(AF$7)*$E23+LN(1-AF$7)*($D23-$E23))</f>
        <v>0</v>
      </c>
      <c r="AG23" s="102">
        <f>EXP(lncombin($B23,$C23)+LN(AG$6)*$C23+LN(1-AG$6)*($B23-$C23)+lncombin($D23,$E23)+LN(AG$7)*$E23+LN(1-AG$7)*($D23-$E23))</f>
        <v>0</v>
      </c>
      <c r="AH23" s="102">
        <f>EXP(lncombin($B23,$C23)+LN(AH$6)*$C23+LN(1-AH$6)*($B23-$C23)+lncombin($D23,$E23)+LN(AH$7)*$E23+LN(1-AH$7)*($D23-$E23))</f>
        <v>0</v>
      </c>
      <c r="AI23" s="102">
        <f>EXP(lncombin($B23,$C23)+LN(AI$6)*$C23+LN(1-AI$6)*($B23-$C23)+lncombin($D23,$E23)+LN(AI$7)*$E23+LN(1-AI$7)*($D23-$E23))</f>
        <v>0</v>
      </c>
      <c r="AJ23" s="102">
        <f>EXP(lncombin($B23,$C23)+LN(AJ$6)*$C23+LN(1-AJ$6)*($B23-$C23)+lncombin($D23,$E23)+LN(AJ$7)*$E23+LN(1-AJ$7)*($D23-$E23))</f>
        <v>0</v>
      </c>
      <c r="AK23" s="102">
        <f>EXP(lncombin($B23,$C23)+LN(AK$6)*$C23+LN(1-AK$6)*($B23-$C23)+lncombin($D23,$E23)+LN(AK$7)*$E23+LN(1-AK$7)*($D23-$E23))</f>
        <v>0</v>
      </c>
      <c r="AL23" s="102">
        <f>EXP(lncombin($B23,$C23)+LN(AL$6)*$C23+LN(1-AL$6)*($B23-$C23)+lncombin($D23,$E23)+LN(AL$7)*$E23+LN(1-AL$7)*($D23-$E23))</f>
        <v>0</v>
      </c>
      <c r="AM23" s="102">
        <f>EXP(lncombin($B23,$C23)+LN(AM$6)*$C23+LN(1-AM$6)*($B23-$C23)+lncombin($D23,$E23)+LN(AM$7)*$E23+LN(1-AM$7)*($D23-$E23))</f>
        <v>0</v>
      </c>
      <c r="AN23" s="102">
        <f>EXP(lncombin($B23,$C23)+LN(AN$6)*$C23+LN(1-AN$6)*($B23-$C23)+lncombin($D23,$E23)+LN(AN$7)*$E23+LN(1-AN$7)*($D23-$E23))</f>
        <v>0</v>
      </c>
    </row>
    <row r="24" spans="1:40">
      <c r="A24">
        <v>2001</v>
      </c>
      <c r="B24">
        <v>2999</v>
      </c>
      <c r="C24">
        <v>7</v>
      </c>
      <c r="D24" s="3">
        <v>1752</v>
      </c>
      <c r="E24">
        <v>173</v>
      </c>
      <c r="G24" s="18">
        <f t="shared" si="2"/>
        <v>-9.2693815977922434</v>
      </c>
      <c r="H24" s="7"/>
      <c r="I24" s="102">
        <f>EXP(lncombin($B24,$C24)+LN(I$6)*$C24+LN(1-I$6)*($B24-$C24)+lncombin($D24,$E24)+LN(I$7)*$E24+LN(1-I$7)*($D24-$E24))</f>
        <v>0</v>
      </c>
      <c r="J24" s="102">
        <f>EXP(lncombin($B24,$C24)+LN(J$6)*$C24+LN(1-J$6)*($B24-$C24)+lncombin($D24,$E24)+LN(J$7)*$E24+LN(1-J$7)*($D24-$E24))</f>
        <v>0</v>
      </c>
      <c r="K24" s="102">
        <f>EXP(lncombin($B24,$C24)+LN(K$6)*$C24+LN(1-K$6)*($B24-$C24)+lncombin($D24,$E24)+LN(K$7)*$E24+LN(1-K$7)*($D24-$E24))</f>
        <v>0</v>
      </c>
      <c r="L24" s="102">
        <f>EXP(lncombin($B24,$C24)+LN(L$6)*$C24+LN(1-L$6)*($B24-$C24)+lncombin($D24,$E24)+LN(L$7)*$E24+LN(1-L$7)*($D24-$E24))</f>
        <v>0</v>
      </c>
      <c r="M24" s="102">
        <f>EXP(lncombin($B24,$C24)+LN(M$6)*$C24+LN(1-M$6)*($B24-$C24)+lncombin($D24,$E24)+LN(M$7)*$E24+LN(1-M$7)*($D24-$E24))</f>
        <v>0</v>
      </c>
      <c r="N24" s="102">
        <f>EXP(lncombin($B24,$C24)+LN(N$6)*$C24+LN(1-N$6)*($B24-$C24)+lncombin($D24,$E24)+LN(N$7)*$E24+LN(1-N$7)*($D24-$E24))</f>
        <v>0</v>
      </c>
      <c r="O24" s="102">
        <f>EXP(lncombin($B24,$C24)+LN(O$6)*$C24+LN(1-O$6)*($B24-$C24)+lncombin($D24,$E24)+LN(O$7)*$E24+LN(1-O$7)*($D24-$E24))</f>
        <v>0</v>
      </c>
      <c r="P24" s="102">
        <f>EXP(lncombin($B24,$C24)+LN(P$6)*$C24+LN(1-P$6)*($B24-$C24)+lncombin($D24,$E24)+LN(P$7)*$E24+LN(1-P$7)*($D24-$E24))</f>
        <v>0</v>
      </c>
      <c r="Q24" s="102">
        <f>EXP(lncombin($B24,$C24)+LN(Q$6)*$C24+LN(1-Q$6)*($B24-$C24)+lncombin($D24,$E24)+LN(Q$7)*$E24+LN(1-Q$7)*($D24-$E24))</f>
        <v>0</v>
      </c>
      <c r="R24" s="102">
        <f>EXP(lncombin($B24,$C24)+LN(R$6)*$C24+LN(1-R$6)*($B24-$C24)+lncombin($D24,$E24)+LN(R$7)*$E24+LN(1-R$7)*($D24-$E24))</f>
        <v>0</v>
      </c>
      <c r="S24" s="102">
        <f>EXP(lncombin($B24,$C24)+LN(S$6)*$C24+LN(1-S$6)*($B24-$C24)+lncombin($D24,$E24)+LN(S$7)*$E24+LN(1-S$7)*($D24-$E24))</f>
        <v>0</v>
      </c>
      <c r="T24" s="102">
        <f>EXP(lncombin($B24,$C24)+LN(T$6)*$C24+LN(1-T$6)*($B24-$C24)+lncombin($D24,$E24)+LN(T$7)*$E24+LN(1-T$7)*($D24-$E24))</f>
        <v>5.4337442287138921E-267</v>
      </c>
      <c r="U24" s="102">
        <f>EXP(lncombin($B24,$C24)+LN(U$6)*$C24+LN(1-U$6)*($B24-$C24)+lncombin($D24,$E24)+LN(U$7)*$E24+LN(1-U$7)*($D24-$E24))</f>
        <v>3.8570422196342852E-208</v>
      </c>
      <c r="V24" s="102">
        <f>EXP(lncombin($B24,$C24)+LN(V$6)*$C24+LN(1-V$6)*($B24-$C24)+lncombin($D24,$E24)+LN(V$7)*$E24+LN(1-V$7)*($D24-$E24))</f>
        <v>5.9451087289867153E-155</v>
      </c>
      <c r="W24" s="102">
        <f>EXP(lncombin($B24,$C24)+LN(W$6)*$C24+LN(1-W$6)*($B24-$C24)+lncombin($D24,$E24)+LN(W$7)*$E24+LN(1-W$7)*($D24-$E24))</f>
        <v>7.5047416838159147E-108</v>
      </c>
      <c r="X24" s="102">
        <f>EXP(lncombin($B24,$C24)+LN(X$6)*$C24+LN(1-X$6)*($B24-$C24)+lncombin($D24,$E24)+LN(X$7)*$E24+LN(1-X$7)*($D24-$E24))</f>
        <v>1.1795178138314297E-67</v>
      </c>
      <c r="Y24" s="102">
        <f>EXP(lncombin($B24,$C24)+LN(Y$6)*$C24+LN(1-Y$6)*($B24-$C24)+lncombin($D24,$E24)+LN(Y$7)*$E24+LN(1-Y$7)*($D24-$E24))</f>
        <v>1.2237230404010895E-35</v>
      </c>
      <c r="Z24" s="102">
        <f>EXP(lncombin($B24,$C24)+LN(Z$6)*$C24+LN(1-Z$6)*($B24-$C24)+lncombin($D24,$E24)+LN(Z$7)*$E24+LN(1-Z$7)*($D24-$E24))</f>
        <v>1.4155747376926383E-13</v>
      </c>
      <c r="AA24" s="102">
        <f>EXP(lncombin($B24,$C24)+LN(AA$6)*$C24+LN(1-AA$6)*($B24-$C24)+lncombin($D24,$E24)+LN(AA$7)*$E24+LN(1-AA$7)*($D24-$E24))</f>
        <v>9.6969061418203926E-4</v>
      </c>
      <c r="AB24" s="102">
        <f>EXP(lncombin($B24,$C24)+LN(AB$6)*$C24+LN(1-AB$6)*($B24-$C24)+lncombin($D24,$E24)+LN(AB$7)*$E24+LN(1-AB$7)*($D24-$E24))</f>
        <v>6.979177811949655E-9</v>
      </c>
      <c r="AC24" s="102">
        <f>EXP(lncombin($B24,$C24)+LN(AC$6)*$C24+LN(1-AC$6)*($B24-$C24)+lncombin($D24,$E24)+LN(AC$7)*$E24+LN(1-AC$7)*($D24-$E24))</f>
        <v>3.4673680688304785E-32</v>
      </c>
      <c r="AD24" s="102">
        <f>EXP(lncombin($B24,$C24)+LN(AD$6)*$C24+LN(1-AD$6)*($B24-$C24)+lncombin($D24,$E24)+LN(AD$7)*$E24+LN(1-AD$7)*($D24-$E24))</f>
        <v>3.1767256046706807E-77</v>
      </c>
      <c r="AE24" s="102">
        <f>EXP(lncombin($B24,$C24)+LN(AE$6)*$C24+LN(1-AE$6)*($B24-$C24)+lncombin($D24,$E24)+LN(AE$7)*$E24+LN(1-AE$7)*($D24-$E24))</f>
        <v>5.9750240447023058E-148</v>
      </c>
      <c r="AF24" s="102">
        <f>EXP(lncombin($B24,$C24)+LN(AF$6)*$C24+LN(1-AF$6)*($B24-$C24)+lncombin($D24,$E24)+LN(AF$7)*$E24+LN(1-AF$7)*($D24-$E24))</f>
        <v>9.6225355114767814E-249</v>
      </c>
      <c r="AG24" s="102">
        <f>EXP(lncombin($B24,$C24)+LN(AG$6)*$C24+LN(1-AG$6)*($B24-$C24)+lncombin($D24,$E24)+LN(AG$7)*$E24+LN(1-AG$7)*($D24-$E24))</f>
        <v>0</v>
      </c>
      <c r="AH24" s="102">
        <f>EXP(lncombin($B24,$C24)+LN(AH$6)*$C24+LN(1-AH$6)*($B24-$C24)+lncombin($D24,$E24)+LN(AH$7)*$E24+LN(1-AH$7)*($D24-$E24))</f>
        <v>0</v>
      </c>
      <c r="AI24" s="102">
        <f>EXP(lncombin($B24,$C24)+LN(AI$6)*$C24+LN(1-AI$6)*($B24-$C24)+lncombin($D24,$E24)+LN(AI$7)*$E24+LN(1-AI$7)*($D24-$E24))</f>
        <v>0</v>
      </c>
      <c r="AJ24" s="102">
        <f>EXP(lncombin($B24,$C24)+LN(AJ$6)*$C24+LN(1-AJ$6)*($B24-$C24)+lncombin($D24,$E24)+LN(AJ$7)*$E24+LN(1-AJ$7)*($D24-$E24))</f>
        <v>0</v>
      </c>
      <c r="AK24" s="102">
        <f>EXP(lncombin($B24,$C24)+LN(AK$6)*$C24+LN(1-AK$6)*($B24-$C24)+lncombin($D24,$E24)+LN(AK$7)*$E24+LN(1-AK$7)*($D24-$E24))</f>
        <v>0</v>
      </c>
      <c r="AL24" s="102">
        <f>EXP(lncombin($B24,$C24)+LN(AL$6)*$C24+LN(1-AL$6)*($B24-$C24)+lncombin($D24,$E24)+LN(AL$7)*$E24+LN(1-AL$7)*($D24-$E24))</f>
        <v>0</v>
      </c>
      <c r="AM24" s="102">
        <f>EXP(lncombin($B24,$C24)+LN(AM$6)*$C24+LN(1-AM$6)*($B24-$C24)+lncombin($D24,$E24)+LN(AM$7)*$E24+LN(1-AM$7)*($D24-$E24))</f>
        <v>0</v>
      </c>
      <c r="AN24" s="102">
        <f>EXP(lncombin($B24,$C24)+LN(AN$6)*$C24+LN(1-AN$6)*($B24-$C24)+lncombin($D24,$E24)+LN(AN$7)*$E24+LN(1-AN$7)*($D24-$E24))</f>
        <v>0</v>
      </c>
    </row>
    <row r="25" spans="1:40">
      <c r="A25">
        <v>2002</v>
      </c>
      <c r="B25">
        <v>3108</v>
      </c>
      <c r="C25">
        <v>13</v>
      </c>
      <c r="D25" s="3">
        <v>1675</v>
      </c>
      <c r="E25">
        <v>159</v>
      </c>
      <c r="G25" s="18">
        <f t="shared" si="2"/>
        <v>-14.48888058666792</v>
      </c>
      <c r="H25" s="7"/>
      <c r="I25" s="102">
        <f>EXP(lncombin($B25,$C25)+LN(I$6)*$C25+LN(1-I$6)*($B25-$C25)+lncombin($D25,$E25)+LN(I$7)*$E25+LN(1-I$7)*($D25-$E25))</f>
        <v>0</v>
      </c>
      <c r="J25" s="102">
        <f>EXP(lncombin($B25,$C25)+LN(J$6)*$C25+LN(1-J$6)*($B25-$C25)+lncombin($D25,$E25)+LN(J$7)*$E25+LN(1-J$7)*($D25-$E25))</f>
        <v>0</v>
      </c>
      <c r="K25" s="102">
        <f>EXP(lncombin($B25,$C25)+LN(K$6)*$C25+LN(1-K$6)*($B25-$C25)+lncombin($D25,$E25)+LN(K$7)*$E25+LN(1-K$7)*($D25-$E25))</f>
        <v>0</v>
      </c>
      <c r="L25" s="102">
        <f>EXP(lncombin($B25,$C25)+LN(L$6)*$C25+LN(1-L$6)*($B25-$C25)+lncombin($D25,$E25)+LN(L$7)*$E25+LN(1-L$7)*($D25-$E25))</f>
        <v>0</v>
      </c>
      <c r="M25" s="102">
        <f>EXP(lncombin($B25,$C25)+LN(M$6)*$C25+LN(1-M$6)*($B25-$C25)+lncombin($D25,$E25)+LN(M$7)*$E25+LN(1-M$7)*($D25-$E25))</f>
        <v>0</v>
      </c>
      <c r="N25" s="102">
        <f>EXP(lncombin($B25,$C25)+LN(N$6)*$C25+LN(1-N$6)*($B25-$C25)+lncombin($D25,$E25)+LN(N$7)*$E25+LN(1-N$7)*($D25-$E25))</f>
        <v>0</v>
      </c>
      <c r="O25" s="102">
        <f>EXP(lncombin($B25,$C25)+LN(O$6)*$C25+LN(1-O$6)*($B25-$C25)+lncombin($D25,$E25)+LN(O$7)*$E25+LN(1-O$7)*($D25-$E25))</f>
        <v>0</v>
      </c>
      <c r="P25" s="102">
        <f>EXP(lncombin($B25,$C25)+LN(P$6)*$C25+LN(1-P$6)*($B25-$C25)+lncombin($D25,$E25)+LN(P$7)*$E25+LN(1-P$7)*($D25-$E25))</f>
        <v>0</v>
      </c>
      <c r="Q25" s="102">
        <f>EXP(lncombin($B25,$C25)+LN(Q$6)*$C25+LN(1-Q$6)*($B25-$C25)+lncombin($D25,$E25)+LN(Q$7)*$E25+LN(1-Q$7)*($D25-$E25))</f>
        <v>0</v>
      </c>
      <c r="R25" s="102">
        <f>EXP(lncombin($B25,$C25)+LN(R$6)*$C25+LN(1-R$6)*($B25-$C25)+lncombin($D25,$E25)+LN(R$7)*$E25+LN(1-R$7)*($D25-$E25))</f>
        <v>0</v>
      </c>
      <c r="S25" s="102">
        <f>EXP(lncombin($B25,$C25)+LN(S$6)*$C25+LN(1-S$6)*($B25-$C25)+lncombin($D25,$E25)+LN(S$7)*$E25+LN(1-S$7)*($D25-$E25))</f>
        <v>4.7539951587650855E-308</v>
      </c>
      <c r="T25" s="102">
        <f>EXP(lncombin($B25,$C25)+LN(T$6)*$C25+LN(1-T$6)*($B25-$C25)+lncombin($D25,$E25)+LN(T$7)*$E25+LN(1-T$7)*($D25-$E25))</f>
        <v>2.2200581513960849E-248</v>
      </c>
      <c r="U25" s="102">
        <f>EXP(lncombin($B25,$C25)+LN(U$6)*$C25+LN(1-U$6)*($B25-$C25)+lncombin($D25,$E25)+LN(U$7)*$E25+LN(1-U$7)*($D25-$E25))</f>
        <v>7.3680079912121097E-194</v>
      </c>
      <c r="V25" s="102">
        <f>EXP(lncombin($B25,$C25)+LN(V$6)*$C25+LN(1-V$6)*($B25-$C25)+lncombin($D25,$E25)+LN(V$7)*$E25+LN(1-V$7)*($D25-$E25))</f>
        <v>1.3560082290905103E-144</v>
      </c>
      <c r="W25" s="102">
        <f>EXP(lncombin($B25,$C25)+LN(W$6)*$C25+LN(1-W$6)*($B25-$C25)+lncombin($D25,$E25)+LN(W$7)*$E25+LN(1-W$7)*($D25-$E25))</f>
        <v>5.2994346771225331E-101</v>
      </c>
      <c r="X25" s="102">
        <f>EXP(lncombin($B25,$C25)+LN(X$6)*$C25+LN(1-X$6)*($B25-$C25)+lncombin($D25,$E25)+LN(X$7)*$E25+LN(1-X$7)*($D25-$E25))</f>
        <v>7.0679339203720151E-64</v>
      </c>
      <c r="Y25" s="102">
        <f>EXP(lncombin($B25,$C25)+LN(Y$6)*$C25+LN(1-Y$6)*($B25-$C25)+lncombin($D25,$E25)+LN(Y$7)*$E25+LN(1-Y$7)*($D25-$E25))</f>
        <v>1.8863715740567738E-34</v>
      </c>
      <c r="Z25" s="102">
        <f>EXP(lncombin($B25,$C25)+LN(Z$6)*$C25+LN(1-Z$6)*($B25-$C25)+lncombin($D25,$E25)+LN(Z$7)*$E25+LN(1-Z$7)*($D25-$E25))</f>
        <v>1.9749788995395628E-14</v>
      </c>
      <c r="AA25" s="102">
        <f>EXP(lncombin($B25,$C25)+LN(AA$6)*$C25+LN(1-AA$6)*($B25-$C25)+lncombin($D25,$E25)+LN(AA$7)*$E25+LN(1-AA$7)*($D25-$E25))</f>
        <v>5.2460828404674098E-6</v>
      </c>
      <c r="AB25" s="102">
        <f>EXP(lncombin($B25,$C25)+LN(AB$6)*$C25+LN(1-AB$6)*($B25-$C25)+lncombin($D25,$E25)+LN(AB$7)*$E25+LN(1-AB$7)*($D25-$E25))</f>
        <v>7.9917869878699526E-12</v>
      </c>
      <c r="AC25" s="102">
        <f>EXP(lncombin($B25,$C25)+LN(AC$6)*$C25+LN(1-AC$6)*($B25-$C25)+lncombin($D25,$E25)+LN(AC$7)*$E25+LN(1-AC$7)*($D25-$E25))</f>
        <v>6.0862749620006099E-35</v>
      </c>
      <c r="AD25" s="102">
        <f>EXP(lncombin($B25,$C25)+LN(AD$6)*$C25+LN(1-AD$6)*($B25-$C25)+lncombin($D25,$E25)+LN(AD$7)*$E25+LN(1-AD$7)*($D25-$E25))</f>
        <v>8.5176702618350172E-79</v>
      </c>
      <c r="AE25" s="102">
        <f>EXP(lncombin($B25,$C25)+LN(AE$6)*$C25+LN(1-AE$6)*($B25-$C25)+lncombin($D25,$E25)+LN(AE$7)*$E25+LN(1-AE$7)*($D25-$E25))</f>
        <v>3.4744648652314176E-147</v>
      </c>
      <c r="AF25" s="102">
        <f>EXP(lncombin($B25,$C25)+LN(AF$6)*$C25+LN(1-AF$6)*($B25-$C25)+lncombin($D25,$E25)+LN(AF$7)*$E25+LN(1-AF$7)*($D25-$E25))</f>
        <v>2.5510445832337043E-244</v>
      </c>
      <c r="AG25" s="102">
        <f>EXP(lncombin($B25,$C25)+LN(AG$6)*$C25+LN(1-AG$6)*($B25-$C25)+lncombin($D25,$E25)+LN(AG$7)*$E25+LN(1-AG$7)*($D25-$E25))</f>
        <v>0</v>
      </c>
      <c r="AH25" s="102">
        <f>EXP(lncombin($B25,$C25)+LN(AH$6)*$C25+LN(1-AH$6)*($B25-$C25)+lncombin($D25,$E25)+LN(AH$7)*$E25+LN(1-AH$7)*($D25-$E25))</f>
        <v>0</v>
      </c>
      <c r="AI25" s="102">
        <f>EXP(lncombin($B25,$C25)+LN(AI$6)*$C25+LN(1-AI$6)*($B25-$C25)+lncombin($D25,$E25)+LN(AI$7)*$E25+LN(1-AI$7)*($D25-$E25))</f>
        <v>0</v>
      </c>
      <c r="AJ25" s="102">
        <f>EXP(lncombin($B25,$C25)+LN(AJ$6)*$C25+LN(1-AJ$6)*($B25-$C25)+lncombin($D25,$E25)+LN(AJ$7)*$E25+LN(1-AJ$7)*($D25-$E25))</f>
        <v>0</v>
      </c>
      <c r="AK25" s="102">
        <f>EXP(lncombin($B25,$C25)+LN(AK$6)*$C25+LN(1-AK$6)*($B25-$C25)+lncombin($D25,$E25)+LN(AK$7)*$E25+LN(1-AK$7)*($D25-$E25))</f>
        <v>0</v>
      </c>
      <c r="AL25" s="102">
        <f>EXP(lncombin($B25,$C25)+LN(AL$6)*$C25+LN(1-AL$6)*($B25-$C25)+lncombin($D25,$E25)+LN(AL$7)*$E25+LN(1-AL$7)*($D25-$E25))</f>
        <v>0</v>
      </c>
      <c r="AM25" s="102">
        <f>EXP(lncombin($B25,$C25)+LN(AM$6)*$C25+LN(1-AM$6)*($B25-$C25)+lncombin($D25,$E25)+LN(AM$7)*$E25+LN(1-AM$7)*($D25-$E25))</f>
        <v>0</v>
      </c>
      <c r="AN25" s="102">
        <f>EXP(lncombin($B25,$C25)+LN(AN$6)*$C25+LN(1-AN$6)*($B25-$C25)+lncombin($D25,$E25)+LN(AN$7)*$E25+LN(1-AN$7)*($D25-$E25))</f>
        <v>0</v>
      </c>
    </row>
    <row r="26" spans="1:40">
      <c r="A26">
        <v>2003</v>
      </c>
      <c r="B26">
        <v>3022</v>
      </c>
      <c r="C26">
        <v>3</v>
      </c>
      <c r="D26" s="3">
        <v>1757</v>
      </c>
      <c r="E26">
        <v>89</v>
      </c>
      <c r="G26" s="18">
        <f t="shared" si="2"/>
        <v>-7.5032332632402108</v>
      </c>
      <c r="H26" s="7"/>
      <c r="I26" s="102">
        <f>EXP(lncombin($B26,$C26)+LN(I$6)*$C26+LN(1-I$6)*($B26-$C26)+lncombin($D26,$E26)+LN(I$7)*$E26+LN(1-I$7)*($D26-$E26))</f>
        <v>0</v>
      </c>
      <c r="J26" s="102">
        <f>EXP(lncombin($B26,$C26)+LN(J$6)*$C26+LN(1-J$6)*($B26-$C26)+lncombin($D26,$E26)+LN(J$7)*$E26+LN(1-J$7)*($D26-$E26))</f>
        <v>0</v>
      </c>
      <c r="K26" s="102">
        <f>EXP(lncombin($B26,$C26)+LN(K$6)*$C26+LN(1-K$6)*($B26-$C26)+lncombin($D26,$E26)+LN(K$7)*$E26+LN(1-K$7)*($D26-$E26))</f>
        <v>0</v>
      </c>
      <c r="L26" s="102">
        <f>EXP(lncombin($B26,$C26)+LN(L$6)*$C26+LN(1-L$6)*($B26-$C26)+lncombin($D26,$E26)+LN(L$7)*$E26+LN(1-L$7)*($D26-$E26))</f>
        <v>0</v>
      </c>
      <c r="M26" s="102">
        <f>EXP(lncombin($B26,$C26)+LN(M$6)*$C26+LN(1-M$6)*($B26-$C26)+lncombin($D26,$E26)+LN(M$7)*$E26+LN(1-M$7)*($D26-$E26))</f>
        <v>0</v>
      </c>
      <c r="N26" s="102">
        <f>EXP(lncombin($B26,$C26)+LN(N$6)*$C26+LN(1-N$6)*($B26-$C26)+lncombin($D26,$E26)+LN(N$7)*$E26+LN(1-N$7)*($D26-$E26))</f>
        <v>0</v>
      </c>
      <c r="O26" s="102">
        <f>EXP(lncombin($B26,$C26)+LN(O$6)*$C26+LN(1-O$6)*($B26-$C26)+lncombin($D26,$E26)+LN(O$7)*$E26+LN(1-O$7)*($D26-$E26))</f>
        <v>4.8792186815535521E-308</v>
      </c>
      <c r="P26" s="102">
        <f>EXP(lncombin($B26,$C26)+LN(P$6)*$C26+LN(1-P$6)*($B26-$C26)+lncombin($D26,$E26)+LN(P$7)*$E26+LN(1-P$7)*($D26-$E26))</f>
        <v>1.5677300614966589E-261</v>
      </c>
      <c r="Q26" s="102">
        <f>EXP(lncombin($B26,$C26)+LN(Q$6)*$C26+LN(1-Q$6)*($B26-$C26)+lncombin($D26,$E26)+LN(Q$7)*$E26+LN(1-Q$7)*($D26-$E26))</f>
        <v>6.1817827331634846E-219</v>
      </c>
      <c r="R26" s="102">
        <f>EXP(lncombin($B26,$C26)+LN(R$6)*$C26+LN(1-R$6)*($B26-$C26)+lncombin($D26,$E26)+LN(R$7)*$E26+LN(1-R$7)*($D26-$E26))</f>
        <v>7.8841192801886824E-180</v>
      </c>
      <c r="S26" s="102">
        <f>EXP(lncombin($B26,$C26)+LN(S$6)*$C26+LN(1-S$6)*($B26-$C26)+lncombin($D26,$E26)+LN(S$7)*$E26+LN(1-S$7)*($D26-$E26))</f>
        <v>6.0958454979813743E-144</v>
      </c>
      <c r="T26" s="102">
        <f>EXP(lncombin($B26,$C26)+LN(T$6)*$C26+LN(1-T$6)*($B26-$C26)+lncombin($D26,$E26)+LN(T$7)*$E26+LN(1-T$7)*($D26-$E26))</f>
        <v>3.8007910725067872E-111</v>
      </c>
      <c r="U26" s="102">
        <f>EXP(lncombin($B26,$C26)+LN(U$6)*$C26+LN(1-U$6)*($B26-$C26)+lncombin($D26,$E26)+LN(U$7)*$E26+LN(1-U$7)*($D26-$E26))</f>
        <v>1.6831512466290867E-81</v>
      </c>
      <c r="V26" s="102">
        <f>EXP(lncombin($B26,$C26)+LN(V$6)*$C26+LN(1-V$6)*($B26-$C26)+lncombin($D26,$E26)+LN(V$7)*$E26+LN(1-V$7)*($D26-$E26))</f>
        <v>2.7154822050063698E-55</v>
      </c>
      <c r="W26" s="102">
        <f>EXP(lncombin($B26,$C26)+LN(W$6)*$C26+LN(1-W$6)*($B26-$C26)+lncombin($D26,$E26)+LN(W$7)*$E26+LN(1-W$7)*($D26-$E26))</f>
        <v>4.0147072561320947E-33</v>
      </c>
      <c r="X26" s="102">
        <f>EXP(lncombin($B26,$C26)+LN(X$6)*$C26+LN(1-X$6)*($B26-$C26)+lncombin($D26,$E26)+LN(X$7)*$E26+LN(1-X$7)*($D26-$E26))</f>
        <v>5.5601246372161598E-16</v>
      </c>
      <c r="Y26" s="102">
        <f>EXP(lncombin($B26,$C26)+LN(Y$6)*$C26+LN(1-Y$6)*($B26-$C26)+lncombin($D26,$E26)+LN(Y$7)*$E26+LN(1-Y$7)*($D26-$E26))</f>
        <v>2.5387750535499343E-5</v>
      </c>
      <c r="Z26" s="102">
        <f>EXP(lncombin($B26,$C26)+LN(Z$6)*$C26+LN(1-Z$6)*($B26-$C26)+lncombin($D26,$E26)+LN(Z$7)*$E26+LN(1-Z$7)*($D26-$E26))</f>
        <v>4.1678279897117152E-3</v>
      </c>
      <c r="AA26" s="102">
        <f>EXP(lncombin($B26,$C26)+LN(AA$6)*$C26+LN(1-AA$6)*($B26-$C26)+lncombin($D26,$E26)+LN(AA$7)*$E26+LN(1-AA$7)*($D26-$E26))</f>
        <v>8.1304467582346295E-12</v>
      </c>
      <c r="AB26" s="102">
        <f>EXP(lncombin($B26,$C26)+LN(AB$6)*$C26+LN(1-AB$6)*($B26-$C26)+lncombin($D26,$E26)+LN(AB$7)*$E26+LN(1-AB$7)*($D26-$E26))</f>
        <v>1.9981294841507407E-34</v>
      </c>
      <c r="AC26" s="102">
        <f>EXP(lncombin($B26,$C26)+LN(AC$6)*$C26+LN(1-AC$6)*($B26-$C26)+lncombin($D26,$E26)+LN(AC$7)*$E26+LN(1-AC$7)*($D26-$E26))</f>
        <v>2.3296675949714982E-74</v>
      </c>
      <c r="AD26" s="102">
        <f>EXP(lncombin($B26,$C26)+LN(AD$6)*$C26+LN(1-AD$6)*($B26-$C26)+lncombin($D26,$E26)+LN(AD$7)*$E26+LN(1-AD$7)*($D26-$E26))</f>
        <v>1.8897660553507122E-135</v>
      </c>
      <c r="AE26" s="102">
        <f>EXP(lncombin($B26,$C26)+LN(AE$6)*$C26+LN(1-AE$6)*($B26-$C26)+lncombin($D26,$E26)+LN(AE$7)*$E26+LN(1-AE$7)*($D26-$E26))</f>
        <v>6.2033779928789111E-222</v>
      </c>
      <c r="AF26" s="102">
        <f>EXP(lncombin($B26,$C26)+LN(AF$6)*$C26+LN(1-AF$6)*($B26-$C26)+lncombin($D26,$E26)+LN(AF$7)*$E26+LN(1-AF$7)*($D26-$E26))</f>
        <v>0</v>
      </c>
      <c r="AG26" s="102">
        <f>EXP(lncombin($B26,$C26)+LN(AG$6)*$C26+LN(1-AG$6)*($B26-$C26)+lncombin($D26,$E26)+LN(AG$7)*$E26+LN(1-AG$7)*($D26-$E26))</f>
        <v>0</v>
      </c>
      <c r="AH26" s="102">
        <f>EXP(lncombin($B26,$C26)+LN(AH$6)*$C26+LN(1-AH$6)*($B26-$C26)+lncombin($D26,$E26)+LN(AH$7)*$E26+LN(1-AH$7)*($D26-$E26))</f>
        <v>0</v>
      </c>
      <c r="AI26" s="102">
        <f>EXP(lncombin($B26,$C26)+LN(AI$6)*$C26+LN(1-AI$6)*($B26-$C26)+lncombin($D26,$E26)+LN(AI$7)*$E26+LN(1-AI$7)*($D26-$E26))</f>
        <v>0</v>
      </c>
      <c r="AJ26" s="102">
        <f>EXP(lncombin($B26,$C26)+LN(AJ$6)*$C26+LN(1-AJ$6)*($B26-$C26)+lncombin($D26,$E26)+LN(AJ$7)*$E26+LN(1-AJ$7)*($D26-$E26))</f>
        <v>0</v>
      </c>
      <c r="AK26" s="102">
        <f>EXP(lncombin($B26,$C26)+LN(AK$6)*$C26+LN(1-AK$6)*($B26-$C26)+lncombin($D26,$E26)+LN(AK$7)*$E26+LN(1-AK$7)*($D26-$E26))</f>
        <v>0</v>
      </c>
      <c r="AL26" s="102">
        <f>EXP(lncombin($B26,$C26)+LN(AL$6)*$C26+LN(1-AL$6)*($B26-$C26)+lncombin($D26,$E26)+LN(AL$7)*$E26+LN(1-AL$7)*($D26-$E26))</f>
        <v>0</v>
      </c>
      <c r="AM26" s="102">
        <f>EXP(lncombin($B26,$C26)+LN(AM$6)*$C26+LN(1-AM$6)*($B26-$C26)+lncombin($D26,$E26)+LN(AM$7)*$E26+LN(1-AM$7)*($D26-$E26))</f>
        <v>0</v>
      </c>
      <c r="AN26" s="102">
        <f>EXP(lncombin($B26,$C26)+LN(AN$6)*$C26+LN(1-AN$6)*($B26-$C26)+lncombin($D26,$E26)+LN(AN$7)*$E26+LN(1-AN$7)*($D26-$E26))</f>
        <v>0</v>
      </c>
    </row>
    <row r="27" spans="1:40">
      <c r="A27">
        <v>2004</v>
      </c>
      <c r="B27">
        <v>3137</v>
      </c>
      <c r="C27">
        <v>1</v>
      </c>
      <c r="D27" s="3">
        <v>1877</v>
      </c>
      <c r="E27">
        <v>38</v>
      </c>
      <c r="G27" s="18">
        <f t="shared" si="2"/>
        <v>-6.2002417214779548</v>
      </c>
      <c r="H27" s="7"/>
      <c r="I27" s="102">
        <f>EXP(lncombin($B27,$C27)+LN(I$6)*$C27+LN(1-I$6)*($B27-$C27)+lncombin($D27,$E27)+LN(I$7)*$E27+LN(1-I$7)*($D27-$E27))</f>
        <v>6.794388094241323E-303</v>
      </c>
      <c r="J27" s="102">
        <f>EXP(lncombin($B27,$C27)+LN(J$6)*$C27+LN(1-J$6)*($B27-$C27)+lncombin($D27,$E27)+LN(J$7)*$E27+LN(1-J$7)*($D27-$E27))</f>
        <v>1.8224389415042884E-256</v>
      </c>
      <c r="K27" s="102">
        <f>EXP(lncombin($B27,$C27)+LN(K$6)*$C27+LN(1-K$6)*($B27-$C27)+lncombin($D27,$E27)+LN(K$7)*$E27+LN(1-K$7)*($D27-$E27))</f>
        <v>3.3474199560765735E-220</v>
      </c>
      <c r="L27" s="102">
        <f>EXP(lncombin($B27,$C27)+LN(L$6)*$C27+LN(1-L$6)*($B27-$C27)+lncombin($D27,$E27)+LN(L$7)*$E27+LN(1-L$7)*($D27-$E27))</f>
        <v>1.6391301727805689E-189</v>
      </c>
      <c r="M27" s="102">
        <f>EXP(lncombin($B27,$C27)+LN(M$6)*$C27+LN(1-M$6)*($B27-$C27)+lncombin($D27,$E27)+LN(M$7)*$E27+LN(1-M$7)*($D27-$E27))</f>
        <v>1.2949642516756453E-162</v>
      </c>
      <c r="N27" s="102">
        <f>EXP(lncombin($B27,$C27)+LN(N$6)*$C27+LN(1-N$6)*($B27-$C27)+lncombin($D27,$E27)+LN(N$7)*$E27+LN(1-N$7)*($D27-$E27))</f>
        <v>1.4015871567164399E-138</v>
      </c>
      <c r="O27" s="102">
        <f>EXP(lncombin($B27,$C27)+LN(O$6)*$C27+LN(1-O$6)*($B27-$C27)+lncombin($D27,$E27)+LN(O$7)*$E27+LN(1-O$7)*($D27-$E27))</f>
        <v>7.5550156032479245E-117</v>
      </c>
      <c r="P27" s="102">
        <f>EXP(lncombin($B27,$C27)+LN(P$6)*$C27+LN(1-P$6)*($B27-$C27)+lncombin($D27,$E27)+LN(P$7)*$E27+LN(1-P$7)*($D27-$E27))</f>
        <v>4.7192031952390512E-97</v>
      </c>
      <c r="Q27" s="102">
        <f>EXP(lncombin($B27,$C27)+LN(Q$6)*$C27+LN(1-Q$6)*($B27-$C27)+lncombin($D27,$E27)+LN(Q$7)*$E27+LN(1-Q$7)*($D27-$E27))</f>
        <v>6.0299499204375242E-79</v>
      </c>
      <c r="R27" s="102">
        <f>EXP(lncombin($B27,$C27)+LN(R$6)*$C27+LN(1-R$6)*($B27-$C27)+lncombin($D27,$E27)+LN(R$7)*$E27+LN(1-R$7)*($D27-$E27))</f>
        <v>2.2562929009154628E-62</v>
      </c>
      <c r="S27" s="102">
        <f>EXP(lncombin($B27,$C27)+LN(S$6)*$C27+LN(1-S$6)*($B27-$C27)+lncombin($D27,$E27)+LN(S$7)*$E27+LN(1-S$7)*($D27-$E27))</f>
        <v>2.8776886675892043E-47</v>
      </c>
      <c r="T27" s="102">
        <f>EXP(lncombin($B27,$C27)+LN(T$6)*$C27+LN(1-T$6)*($B27-$C27)+lncombin($D27,$E27)+LN(T$7)*$E27+LN(1-T$7)*($D27-$E27))</f>
        <v>1.1227532357277588E-33</v>
      </c>
      <c r="U27" s="102">
        <f>EXP(lncombin($B27,$C27)+LN(U$6)*$C27+LN(1-U$6)*($B27-$C27)+lncombin($D27,$E27)+LN(U$7)*$E27+LN(1-U$7)*($D27-$E27))</f>
        <v>8.3163727627315768E-22</v>
      </c>
      <c r="V27" s="102">
        <f>EXP(lncombin($B27,$C27)+LN(V$6)*$C27+LN(1-V$6)*($B27-$C27)+lncombin($D27,$E27)+LN(V$7)*$E27+LN(1-V$7)*($D27-$E27))</f>
        <v>4.2634476848612852E-12</v>
      </c>
      <c r="W27" s="102">
        <f>EXP(lncombin($B27,$C27)+LN(W$6)*$C27+LN(1-W$6)*($B27-$C27)+lncombin($D27,$E27)+LN(W$7)*$E27+LN(1-W$7)*($D27-$E27))</f>
        <v>2.6400243105745192E-5</v>
      </c>
      <c r="X27" s="102">
        <f>EXP(lncombin($B27,$C27)+LN(X$6)*$C27+LN(1-X$6)*($B27-$C27)+lncombin($D27,$E27)+LN(X$7)*$E27+LN(1-X$7)*($D27-$E27))</f>
        <v>1.3264395556682457E-2</v>
      </c>
      <c r="Y27" s="102">
        <f>EXP(lncombin($B27,$C27)+LN(Y$6)*$C27+LN(1-Y$6)*($B27-$C27)+lncombin($D27,$E27)+LN(Y$7)*$E27+LN(1-Y$7)*($D27-$E27))</f>
        <v>1.1552376305093499E-5</v>
      </c>
      <c r="Z27" s="102">
        <f>EXP(lncombin($B27,$C27)+LN(Z$6)*$C27+LN(1-Z$6)*($B27-$C27)+lncombin($D27,$E27)+LN(Z$7)*$E27+LN(1-Z$7)*($D27-$E27))</f>
        <v>1.048170545146604E-16</v>
      </c>
      <c r="AA27" s="102">
        <f>EXP(lncombin($B27,$C27)+LN(AA$6)*$C27+LN(1-AA$6)*($B27-$C27)+lncombin($D27,$E27)+LN(AA$7)*$E27+LN(1-AA$7)*($D27-$E27))</f>
        <v>1.6261516457179827E-38</v>
      </c>
      <c r="AB27" s="102">
        <f>EXP(lncombin($B27,$C27)+LN(AB$6)*$C27+LN(1-AB$6)*($B27-$C27)+lncombin($D27,$E27)+LN(AB$7)*$E27+LN(1-AB$7)*($D27-$E27))</f>
        <v>2.0491629502367671E-74</v>
      </c>
      <c r="AC27" s="102">
        <f>EXP(lncombin($B27,$C27)+LN(AC$6)*$C27+LN(1-AC$6)*($B27-$C27)+lncombin($D27,$E27)+LN(AC$7)*$E27+LN(1-AC$7)*($D27-$E27))</f>
        <v>3.2124314526357144E-128</v>
      </c>
      <c r="AD27" s="102">
        <f>EXP(lncombin($B27,$C27)+LN(AD$6)*$C27+LN(1-AD$6)*($B27-$C27)+lncombin($D27,$E27)+LN(AD$7)*$E27+LN(1-AD$7)*($D27-$E27))</f>
        <v>3.409268647346593E-204</v>
      </c>
      <c r="AE27" s="102">
        <f>EXP(lncombin($B27,$C27)+LN(AE$6)*$C27+LN(1-AE$6)*($B27-$C27)+lncombin($D27,$E27)+LN(AE$7)*$E27+LN(1-AE$7)*($D27-$E27))</f>
        <v>4.8088875246987724E-307</v>
      </c>
      <c r="AF27" s="102">
        <f>EXP(lncombin($B27,$C27)+LN(AF$6)*$C27+LN(1-AF$6)*($B27-$C27)+lncombin($D27,$E27)+LN(AF$7)*$E27+LN(1-AF$7)*($D27-$E27))</f>
        <v>0</v>
      </c>
      <c r="AG27" s="102">
        <f>EXP(lncombin($B27,$C27)+LN(AG$6)*$C27+LN(1-AG$6)*($B27-$C27)+lncombin($D27,$E27)+LN(AG$7)*$E27+LN(1-AG$7)*($D27-$E27))</f>
        <v>0</v>
      </c>
      <c r="AH27" s="102">
        <f>EXP(lncombin($B27,$C27)+LN(AH$6)*$C27+LN(1-AH$6)*($B27-$C27)+lncombin($D27,$E27)+LN(AH$7)*$E27+LN(1-AH$7)*($D27-$E27))</f>
        <v>0</v>
      </c>
      <c r="AI27" s="102">
        <f>EXP(lncombin($B27,$C27)+LN(AI$6)*$C27+LN(1-AI$6)*($B27-$C27)+lncombin($D27,$E27)+LN(AI$7)*$E27+LN(1-AI$7)*($D27-$E27))</f>
        <v>0</v>
      </c>
      <c r="AJ27" s="102">
        <f>EXP(lncombin($B27,$C27)+LN(AJ$6)*$C27+LN(1-AJ$6)*($B27-$C27)+lncombin($D27,$E27)+LN(AJ$7)*$E27+LN(1-AJ$7)*($D27-$E27))</f>
        <v>0</v>
      </c>
      <c r="AK27" s="102">
        <f>EXP(lncombin($B27,$C27)+LN(AK$6)*$C27+LN(1-AK$6)*($B27-$C27)+lncombin($D27,$E27)+LN(AK$7)*$E27+LN(1-AK$7)*($D27-$E27))</f>
        <v>0</v>
      </c>
      <c r="AL27" s="102">
        <f>EXP(lncombin($B27,$C27)+LN(AL$6)*$C27+LN(1-AL$6)*($B27-$C27)+lncombin($D27,$E27)+LN(AL$7)*$E27+LN(1-AL$7)*($D27-$E27))</f>
        <v>0</v>
      </c>
      <c r="AM27" s="102">
        <f>EXP(lncombin($B27,$C27)+LN(AM$6)*$C27+LN(1-AM$6)*($B27-$C27)+lncombin($D27,$E27)+LN(AM$7)*$E27+LN(1-AM$7)*($D27-$E27))</f>
        <v>0</v>
      </c>
      <c r="AN27" s="102">
        <f>EXP(lncombin($B27,$C27)+LN(AN$6)*$C27+LN(1-AN$6)*($B27-$C27)+lncombin($D27,$E27)+LN(AN$7)*$E27+LN(1-AN$7)*($D27-$E27))</f>
        <v>0</v>
      </c>
    </row>
    <row r="28" spans="1:40">
      <c r="A28">
        <v>2005</v>
      </c>
      <c r="B28">
        <v>3247</v>
      </c>
      <c r="C28">
        <v>1</v>
      </c>
      <c r="D28" s="3">
        <v>2059</v>
      </c>
      <c r="E28">
        <v>31</v>
      </c>
      <c r="G28" s="18">
        <f t="shared" si="2"/>
        <v>-6.8668852017435613</v>
      </c>
      <c r="H28" s="7"/>
      <c r="I28" s="102">
        <f>EXP(lncombin($B28,$C28)+LN(I$6)*$C28+LN(1-I$6)*($B28-$C28)+lncombin($D28,$E28)+LN(I$7)*$E28+LN(1-I$7)*($D28-$E28))</f>
        <v>1.468422309096488E-243</v>
      </c>
      <c r="J28" s="102">
        <f>EXP(lncombin($B28,$C28)+LN(J$6)*$C28+LN(1-J$6)*($B28-$C28)+lncombin($D28,$E28)+LN(J$7)*$E28+LN(1-J$7)*($D28-$E28))</f>
        <v>1.1666035741997746E-205</v>
      </c>
      <c r="K28" s="102">
        <f>EXP(lncombin($B28,$C28)+LN(K$6)*$C28+LN(1-K$6)*($B28-$C28)+lncombin($D28,$E28)+LN(K$7)*$E28+LN(1-K$7)*($D28-$E28))</f>
        <v>4.6689403425034984E-176</v>
      </c>
      <c r="L28" s="102">
        <f>EXP(lncombin($B28,$C28)+LN(L$6)*$C28+LN(1-L$6)*($B28-$C28)+lncombin($D28,$E28)+LN(L$7)*$E28+LN(1-L$7)*($D28-$E28))</f>
        <v>5.2561238241228957E-151</v>
      </c>
      <c r="M28" s="102">
        <f>EXP(lncombin($B28,$C28)+LN(M$6)*$C28+LN(1-M$6)*($B28-$C28)+lncombin($D28,$E28)+LN(M$7)*$E28+LN(1-M$7)*($D28-$E28))</f>
        <v>4.7384351948894895E-129</v>
      </c>
      <c r="N28" s="102">
        <f>EXP(lncombin($B28,$C28)+LN(N$6)*$C28+LN(1-N$6)*($B28-$C28)+lncombin($D28,$E28)+LN(N$7)*$E28+LN(1-N$7)*($D28-$E28))</f>
        <v>1.9592893940274898E-109</v>
      </c>
      <c r="O28" s="102">
        <f>EXP(lncombin($B28,$C28)+LN(O$6)*$C28+LN(1-O$6)*($B28-$C28)+lncombin($D28,$E28)+LN(O$7)*$E28+LN(1-O$7)*($D28-$E28))</f>
        <v>1.0637035668610353E-91</v>
      </c>
      <c r="P28" s="102">
        <f>EXP(lncombin($B28,$C28)+LN(P$6)*$C28+LN(1-P$6)*($B28-$C28)+lncombin($D28,$E28)+LN(P$7)*$E28+LN(1-P$7)*($D28-$E28))</f>
        <v>1.5038806761907348E-75</v>
      </c>
      <c r="Q28" s="102">
        <f>EXP(lncombin($B28,$C28)+LN(Q$6)*$C28+LN(1-Q$6)*($B28-$C28)+lncombin($D28,$E28)+LN(Q$7)*$E28+LN(1-Q$7)*($D28-$E28))</f>
        <v>8.7082060439975052E-61</v>
      </c>
      <c r="R28" s="102">
        <f>EXP(lncombin($B28,$C28)+LN(R$6)*$C28+LN(1-R$6)*($B28-$C28)+lncombin($D28,$E28)+LN(R$7)*$E28+LN(1-R$7)*($D28-$E28))</f>
        <v>2.6986892437198354E-47</v>
      </c>
      <c r="S28" s="102">
        <f>EXP(lncombin($B28,$C28)+LN(S$6)*$C28+LN(1-S$6)*($B28-$C28)+lncombin($D28,$E28)+LN(S$7)*$E28+LN(1-S$7)*($D28-$E28))</f>
        <v>4.7996076610143704E-35</v>
      </c>
      <c r="T28" s="102">
        <f>EXP(lncombin($B28,$C28)+LN(T$6)*$C28+LN(1-T$6)*($B28-$C28)+lncombin($D28,$E28)+LN(T$7)*$E28+LN(1-T$7)*($D28-$E28))</f>
        <v>4.0289031064792105E-24</v>
      </c>
      <c r="U28" s="102">
        <f>EXP(lncombin($B28,$C28)+LN(U$6)*$C28+LN(1-U$6)*($B28-$C28)+lncombin($D28,$E28)+LN(U$7)*$E28+LN(1-U$7)*($D28-$E28))</f>
        <v>8.8770138752048794E-15</v>
      </c>
      <c r="V28" s="102">
        <f>EXP(lncombin($B28,$C28)+LN(V$6)*$C28+LN(1-V$6)*($B28-$C28)+lncombin($D28,$E28)+LN(V$7)*$E28+LN(1-V$7)*($D28-$E28))</f>
        <v>1.6064536407993473E-7</v>
      </c>
      <c r="W28" s="102">
        <f>EXP(lncombin($B28,$C28)+LN(W$6)*$C28+LN(1-W$6)*($B28-$C28)+lncombin($D28,$E28)+LN(W$7)*$E28+LN(1-W$7)*($D28-$E28))</f>
        <v>3.3455876065035836E-3</v>
      </c>
      <c r="X28" s="102">
        <f>EXP(lncombin($B28,$C28)+LN(X$6)*$C28+LN(1-X$6)*($B28-$C28)+lncombin($D28,$E28)+LN(X$7)*$E28+LN(1-X$7)*($D28-$E28))</f>
        <v>3.9475917163728762E-3</v>
      </c>
      <c r="Y28" s="102">
        <f>EXP(lncombin($B28,$C28)+LN(Y$6)*$C28+LN(1-Y$6)*($B28-$C28)+lncombin($D28,$E28)+LN(Y$7)*$E28+LN(1-Y$7)*($D28-$E28))</f>
        <v>3.6932089559250467E-9</v>
      </c>
      <c r="Z28" s="102">
        <f>EXP(lncombin($B28,$C28)+LN(Z$6)*$C28+LN(1-Z$6)*($B28-$C28)+lncombin($D28,$E28)+LN(Z$7)*$E28+LN(1-Z$7)*($D28-$E28))</f>
        <v>9.5086782213718224E-24</v>
      </c>
      <c r="AA28" s="102">
        <f>EXP(lncombin($B28,$C28)+LN(AA$6)*$C28+LN(1-AA$6)*($B28-$C28)+lncombin($D28,$E28)+LN(AA$7)*$E28+LN(1-AA$7)*($D28-$E28))</f>
        <v>5.6076473606163763E-50</v>
      </c>
      <c r="AB28" s="102">
        <f>EXP(lncombin($B28,$C28)+LN(AB$6)*$C28+LN(1-AB$6)*($B28-$C28)+lncombin($D28,$E28)+LN(AB$7)*$E28+LN(1-AB$7)*($D28-$E28))</f>
        <v>1.6106398704588585E-91</v>
      </c>
      <c r="AC28" s="102">
        <f>EXP(lncombin($B28,$C28)+LN(AC$6)*$C28+LN(1-AC$6)*($B28-$C28)+lncombin($D28,$E28)+LN(AC$7)*$E28+LN(1-AC$7)*($D28-$E28))</f>
        <v>1.3775434784033328E-152</v>
      </c>
      <c r="AD28" s="102">
        <f>EXP(lncombin($B28,$C28)+LN(AD$6)*$C28+LN(1-AD$6)*($B28-$C28)+lncombin($D28,$E28)+LN(AD$7)*$E28+LN(1-AD$7)*($D28-$E28))</f>
        <v>6.8594527925340392E-238</v>
      </c>
      <c r="AE28" s="102">
        <f>EXP(lncombin($B28,$C28)+LN(AE$6)*$C28+LN(1-AE$6)*($B28-$C28)+lncombin($D28,$E28)+LN(AE$7)*$E28+LN(1-AE$7)*($D28-$E28))</f>
        <v>0</v>
      </c>
      <c r="AF28" s="102">
        <f>EXP(lncombin($B28,$C28)+LN(AF$6)*$C28+LN(1-AF$6)*($B28-$C28)+lncombin($D28,$E28)+LN(AF$7)*$E28+LN(1-AF$7)*($D28-$E28))</f>
        <v>0</v>
      </c>
      <c r="AG28" s="102">
        <f>EXP(lncombin($B28,$C28)+LN(AG$6)*$C28+LN(1-AG$6)*($B28-$C28)+lncombin($D28,$E28)+LN(AG$7)*$E28+LN(1-AG$7)*($D28-$E28))</f>
        <v>0</v>
      </c>
      <c r="AH28" s="102">
        <f>EXP(lncombin($B28,$C28)+LN(AH$6)*$C28+LN(1-AH$6)*($B28-$C28)+lncombin($D28,$E28)+LN(AH$7)*$E28+LN(1-AH$7)*($D28-$E28))</f>
        <v>0</v>
      </c>
      <c r="AI28" s="102">
        <f>EXP(lncombin($B28,$C28)+LN(AI$6)*$C28+LN(1-AI$6)*($B28-$C28)+lncombin($D28,$E28)+LN(AI$7)*$E28+LN(1-AI$7)*($D28-$E28))</f>
        <v>0</v>
      </c>
      <c r="AJ28" s="102">
        <f>EXP(lncombin($B28,$C28)+LN(AJ$6)*$C28+LN(1-AJ$6)*($B28-$C28)+lncombin($D28,$E28)+LN(AJ$7)*$E28+LN(1-AJ$7)*($D28-$E28))</f>
        <v>0</v>
      </c>
      <c r="AK28" s="102">
        <f>EXP(lncombin($B28,$C28)+LN(AK$6)*$C28+LN(1-AK$6)*($B28-$C28)+lncombin($D28,$E28)+LN(AK$7)*$E28+LN(1-AK$7)*($D28-$E28))</f>
        <v>0</v>
      </c>
      <c r="AL28" s="102">
        <f>EXP(lncombin($B28,$C28)+LN(AL$6)*$C28+LN(1-AL$6)*($B28-$C28)+lncombin($D28,$E28)+LN(AL$7)*$E28+LN(1-AL$7)*($D28-$E28))</f>
        <v>0</v>
      </c>
      <c r="AM28" s="102">
        <f>EXP(lncombin($B28,$C28)+LN(AM$6)*$C28+LN(1-AM$6)*($B28-$C28)+lncombin($D28,$E28)+LN(AM$7)*$E28+LN(1-AM$7)*($D28-$E28))</f>
        <v>0</v>
      </c>
      <c r="AN28" s="102">
        <f>EXP(lncombin($B28,$C28)+LN(AN$6)*$C28+LN(1-AN$6)*($B28-$C28)+lncombin($D28,$E28)+LN(AN$7)*$E28+LN(1-AN$7)*($D28-$E28))</f>
        <v>0</v>
      </c>
    </row>
    <row r="29" spans="1:40">
      <c r="A29">
        <v>2006</v>
      </c>
      <c r="B29">
        <v>3272</v>
      </c>
      <c r="C29">
        <v>0</v>
      </c>
      <c r="D29" s="3">
        <v>2192</v>
      </c>
      <c r="E29">
        <v>26</v>
      </c>
      <c r="G29" s="18">
        <f t="shared" si="2"/>
        <v>-6.914764162142788</v>
      </c>
      <c r="H29" s="7"/>
      <c r="I29" s="102">
        <f>EXP(lncombin($B29,$C29)+LN(I$6)*$C29+LN(1-I$6)*($B29-$C29)+lncombin($D29,$E29)+LN(I$7)*$E29+LN(1-I$7)*($D29-$E29))</f>
        <v>4.9462570347644957E-201</v>
      </c>
      <c r="J29" s="102">
        <f>EXP(lncombin($B29,$C29)+LN(J$6)*$C29+LN(1-J$6)*($B29-$C29)+lncombin($D29,$E29)+LN(J$7)*$E29+LN(1-J$7)*($D29-$E29))</f>
        <v>2.2292904436858623E-169</v>
      </c>
      <c r="K29" s="102">
        <f>EXP(lncombin($B29,$C29)+LN(K$6)*$C29+LN(1-K$6)*($B29-$C29)+lncombin($D29,$E29)+LN(K$7)*$E29+LN(1-K$7)*($D29-$E29))</f>
        <v>1.1632858729894199E-144</v>
      </c>
      <c r="L29" s="102">
        <f>EXP(lncombin($B29,$C29)+LN(L$6)*$C29+LN(1-L$6)*($B29-$C29)+lncombin($D29,$E29)+LN(L$7)*$E29+LN(1-L$7)*($D29-$E29))</f>
        <v>9.5060269448494797E-124</v>
      </c>
      <c r="M29" s="102">
        <f>EXP(lncombin($B29,$C29)+LN(M$6)*$C29+LN(1-M$6)*($B29-$C29)+lncombin($D29,$E29)+LN(M$7)*$E29+LN(1-M$7)*($D29-$E29))</f>
        <v>1.9971229611318839E-105</v>
      </c>
      <c r="N29" s="102">
        <f>EXP(lncombin($B29,$C29)+LN(N$6)*$C29+LN(1-N$6)*($B29-$C29)+lncombin($D29,$E29)+LN(N$7)*$E29+LN(1-N$7)*($D29-$E29))</f>
        <v>4.6353403198987876E-89</v>
      </c>
      <c r="O29" s="102">
        <f>EXP(lncombin($B29,$C29)+LN(O$6)*$C29+LN(1-O$6)*($B29-$C29)+lncombin($D29,$E29)+LN(O$7)*$E29+LN(1-O$7)*($D29-$E29))</f>
        <v>2.8580958512395025E-74</v>
      </c>
      <c r="P29" s="102">
        <f>EXP(lncombin($B29,$C29)+LN(P$6)*$C29+LN(1-P$6)*($B29-$C29)+lncombin($D29,$E29)+LN(P$7)*$E29+LN(1-P$7)*($D29-$E29))</f>
        <v>8.2642756681197516E-61</v>
      </c>
      <c r="Q29" s="102">
        <f>EXP(lncombin($B29,$C29)+LN(Q$6)*$C29+LN(1-Q$6)*($B29-$C29)+lncombin($D29,$E29)+LN(Q$7)*$E29+LN(1-Q$7)*($D29-$E29))</f>
        <v>1.6200840276302105E-48</v>
      </c>
      <c r="R29" s="102">
        <f>EXP(lncombin($B29,$C29)+LN(R$6)*$C29+LN(1-R$6)*($B29-$C29)+lncombin($D29,$E29)+LN(R$7)*$E29+LN(1-R$7)*($D29-$E29))</f>
        <v>2.6323484775357859E-37</v>
      </c>
      <c r="S29" s="102">
        <f>EXP(lncombin($B29,$C29)+LN(S$6)*$C29+LN(1-S$6)*($B29-$C29)+lncombin($D29,$E29)+LN(S$7)*$E29+LN(1-S$7)*($D29-$E29))</f>
        <v>3.5806383615316623E-27</v>
      </c>
      <c r="T29" s="102">
        <f>EXP(lncombin($B29,$C29)+LN(T$6)*$C29+LN(1-T$6)*($B29-$C29)+lncombin($D29,$E29)+LN(T$7)*$E29+LN(1-T$7)*($D29-$E29))</f>
        <v>3.1463827587927303E-18</v>
      </c>
      <c r="U29" s="102">
        <f>EXP(lncombin($B29,$C29)+LN(U$6)*$C29+LN(1-U$6)*($B29-$C29)+lncombin($D29,$E29)+LN(U$7)*$E29+LN(1-U$7)*($D29-$E29))</f>
        <v>9.1683367349043554E-11</v>
      </c>
      <c r="V29" s="102">
        <f>EXP(lncombin($B29,$C29)+LN(V$6)*$C29+LN(1-V$6)*($B29-$C29)+lncombin($D29,$E29)+LN(V$7)*$E29+LN(1-V$7)*($D29-$E29))</f>
        <v>2.4796311961639671E-5</v>
      </c>
      <c r="W29" s="102">
        <f>EXP(lncombin($B29,$C29)+LN(W$6)*$C29+LN(1-W$6)*($B29-$C29)+lncombin($D29,$E29)+LN(W$7)*$E29+LN(1-W$7)*($D29-$E29))</f>
        <v>7.4295717416514914E-3</v>
      </c>
      <c r="X29" s="102">
        <f>EXP(lncombin($B29,$C29)+LN(X$6)*$C29+LN(1-X$6)*($B29-$C29)+lncombin($D29,$E29)+LN(X$7)*$E29+LN(1-X$7)*($D29-$E29))</f>
        <v>9.6770013968742921E-5</v>
      </c>
      <c r="Y29" s="102">
        <f>EXP(lncombin($B29,$C29)+LN(Y$6)*$C29+LN(1-Y$6)*($B29-$C29)+lncombin($D29,$E29)+LN(Y$7)*$E29+LN(1-Y$7)*($D29-$E29))</f>
        <v>5.6304559445432459E-13</v>
      </c>
      <c r="Z29" s="102">
        <f>EXP(lncombin($B29,$C29)+LN(Z$6)*$C29+LN(1-Z$6)*($B29-$C29)+lncombin($D29,$E29)+LN(Z$7)*$E29+LN(1-Z$7)*($D29-$E29))</f>
        <v>3.4018812565218843E-30</v>
      </c>
      <c r="AA29" s="102">
        <f>EXP(lncombin($B29,$C29)+LN(AA$6)*$C29+LN(1-AA$6)*($B29-$C29)+lncombin($D29,$E29)+LN(AA$7)*$E29+LN(1-AA$7)*($D29-$E29))</f>
        <v>1.0820970644917158E-59</v>
      </c>
      <c r="AB29" s="102">
        <f>EXP(lncombin($B29,$C29)+LN(AB$6)*$C29+LN(1-AB$6)*($B29-$C29)+lncombin($D29,$E29)+LN(AB$7)*$E29+LN(1-AB$7)*($D29-$E29))</f>
        <v>2.1424887841851587E-105</v>
      </c>
      <c r="AC29" s="102">
        <f>EXP(lncombin($B29,$C29)+LN(AC$6)*$C29+LN(1-AC$6)*($B29-$C29)+lncombin($D29,$E29)+LN(AC$7)*$E29+LN(1-AC$7)*($D29-$E29))</f>
        <v>8.2572376651577427E-172</v>
      </c>
      <c r="AD29" s="102">
        <f>EXP(lncombin($B29,$C29)+LN(AD$6)*$C29+LN(1-AD$6)*($B29-$C29)+lncombin($D29,$E29)+LN(AD$7)*$E29+LN(1-AD$7)*($D29-$E29))</f>
        <v>5.7366893210431795E-264</v>
      </c>
      <c r="AE29" s="102">
        <f>EXP(lncombin($B29,$C29)+LN(AE$6)*$C29+LN(1-AE$6)*($B29-$C29)+lncombin($D29,$E29)+LN(AE$7)*$E29+LN(1-AE$7)*($D29-$E29))</f>
        <v>0</v>
      </c>
      <c r="AF29" s="102">
        <f>EXP(lncombin($B29,$C29)+LN(AF$6)*$C29+LN(1-AF$6)*($B29-$C29)+lncombin($D29,$E29)+LN(AF$7)*$E29+LN(1-AF$7)*($D29-$E29))</f>
        <v>0</v>
      </c>
      <c r="AG29" s="102">
        <f>EXP(lncombin($B29,$C29)+LN(AG$6)*$C29+LN(1-AG$6)*($B29-$C29)+lncombin($D29,$E29)+LN(AG$7)*$E29+LN(1-AG$7)*($D29-$E29))</f>
        <v>0</v>
      </c>
      <c r="AH29" s="102">
        <f>EXP(lncombin($B29,$C29)+LN(AH$6)*$C29+LN(1-AH$6)*($B29-$C29)+lncombin($D29,$E29)+LN(AH$7)*$E29+LN(1-AH$7)*($D29-$E29))</f>
        <v>0</v>
      </c>
      <c r="AI29" s="102">
        <f>EXP(lncombin($B29,$C29)+LN(AI$6)*$C29+LN(1-AI$6)*($B29-$C29)+lncombin($D29,$E29)+LN(AI$7)*$E29+LN(1-AI$7)*($D29-$E29))</f>
        <v>0</v>
      </c>
      <c r="AJ29" s="102">
        <f>EXP(lncombin($B29,$C29)+LN(AJ$6)*$C29+LN(1-AJ$6)*($B29-$C29)+lncombin($D29,$E29)+LN(AJ$7)*$E29+LN(1-AJ$7)*($D29-$E29))</f>
        <v>0</v>
      </c>
      <c r="AK29" s="102">
        <f>EXP(lncombin($B29,$C29)+LN(AK$6)*$C29+LN(1-AK$6)*($B29-$C29)+lncombin($D29,$E29)+LN(AK$7)*$E29+LN(1-AK$7)*($D29-$E29))</f>
        <v>0</v>
      </c>
      <c r="AL29" s="102">
        <f>EXP(lncombin($B29,$C29)+LN(AL$6)*$C29+LN(1-AL$6)*($B29-$C29)+lncombin($D29,$E29)+LN(AL$7)*$E29+LN(1-AL$7)*($D29-$E29))</f>
        <v>0</v>
      </c>
      <c r="AM29" s="102">
        <f>EXP(lncombin($B29,$C29)+LN(AM$6)*$C29+LN(1-AM$6)*($B29-$C29)+lncombin($D29,$E29)+LN(AM$7)*$E29+LN(1-AM$7)*($D29-$E29))</f>
        <v>0</v>
      </c>
      <c r="AN29" s="102">
        <f>EXP(lncombin($B29,$C29)+LN(AN$6)*$C29+LN(1-AN$6)*($B29-$C29)+lncombin($D29,$E29)+LN(AN$7)*$E29+LN(1-AN$7)*($D29-$E29))</f>
        <v>0</v>
      </c>
    </row>
    <row r="30" spans="1:40">
      <c r="A30">
        <v>2007</v>
      </c>
      <c r="B30">
        <v>3348</v>
      </c>
      <c r="C30">
        <v>0</v>
      </c>
      <c r="D30" s="3">
        <v>2301</v>
      </c>
      <c r="E30">
        <v>21</v>
      </c>
      <c r="G30" s="18">
        <f t="shared" si="2"/>
        <v>-6.8920336550859149</v>
      </c>
      <c r="H30" s="7"/>
      <c r="I30" s="102">
        <f>EXP(lncombin($B30,$C30)+LN(I$6)*$C30+LN(1-I$6)*($B30-$C30)+lncombin($D30,$E30)+LN(I$7)*$E30+LN(1-I$7)*($D30-$E30))</f>
        <v>2.7549871858885041E-160</v>
      </c>
      <c r="J30" s="102">
        <f>EXP(lncombin($B30,$C30)+LN(J$6)*$C30+LN(1-J$6)*($B30-$C30)+lncombin($D30,$E30)+LN(J$7)*$E30+LN(1-J$7)*($D30-$E30))</f>
        <v>1.0052863813950405E-134</v>
      </c>
      <c r="K30" s="102">
        <f>EXP(lncombin($B30,$C30)+LN(K$6)*$C30+LN(1-K$6)*($B30-$C30)+lncombin($D30,$E30)+LN(K$7)*$E30+LN(1-K$7)*($D30-$E30))</f>
        <v>9.1501122055863411E-115</v>
      </c>
      <c r="L30" s="102">
        <f>EXP(lncombin($B30,$C30)+LN(L$6)*$C30+LN(1-L$6)*($B30-$C30)+lncombin($D30,$E30)+LN(L$7)*$E30+LN(1-L$7)*($D30-$E30))</f>
        <v>7.0192774012735191E-98</v>
      </c>
      <c r="M30" s="102">
        <f>EXP(lncombin($B30,$C30)+LN(M$6)*$C30+LN(1-M$6)*($B30-$C30)+lncombin($D30,$E30)+LN(M$7)*$E30+LN(1-M$7)*($D30-$E30))</f>
        <v>4.3475473541238336E-83</v>
      </c>
      <c r="N30" s="102">
        <f>EXP(lncombin($B30,$C30)+LN(N$6)*$C30+LN(1-N$6)*($B30-$C30)+lncombin($D30,$E30)+LN(N$7)*$E30+LN(1-N$7)*($D30-$E30))</f>
        <v>7.0521604520481043E-70</v>
      </c>
      <c r="O30" s="102">
        <f>EXP(lncombin($B30,$C30)+LN(O$6)*$C30+LN(1-O$6)*($B30-$C30)+lncombin($D30,$E30)+LN(O$7)*$E30+LN(1-O$7)*($D30-$E30))</f>
        <v>6.074027128461791E-58</v>
      </c>
      <c r="P30" s="102">
        <f>EXP(lncombin($B30,$C30)+LN(P$6)*$C30+LN(1-P$6)*($B30-$C30)+lncombin($D30,$E30)+LN(P$7)*$E30+LN(1-P$7)*($D30-$E30))</f>
        <v>4.3757877753728465E-47</v>
      </c>
      <c r="Q30" s="102">
        <f>EXP(lncombin($B30,$C30)+LN(Q$6)*$C30+LN(1-Q$6)*($B30-$C30)+lncombin($D30,$E30)+LN(Q$7)*$E30+LN(1-Q$7)*($D30-$E30))</f>
        <v>3.5115612342920077E-37</v>
      </c>
      <c r="R30" s="102">
        <f>EXP(lncombin($B30,$C30)+LN(R$6)*$C30+LN(1-R$6)*($B30-$C30)+lncombin($D30,$E30)+LN(R$7)*$E30+LN(1-R$7)*($D30-$E30))</f>
        <v>3.5990936864945556E-28</v>
      </c>
      <c r="S30" s="102">
        <f>EXP(lncombin($B30,$C30)+LN(S$6)*$C30+LN(1-S$6)*($B30-$C30)+lncombin($D30,$E30)+LN(S$7)*$E30+LN(1-S$7)*($D30-$E30))</f>
        <v>4.4974166044023488E-20</v>
      </c>
      <c r="T30" s="102">
        <f>EXP(lncombin($B30,$C30)+LN(T$6)*$C30+LN(1-T$6)*($B30-$C30)+lncombin($D30,$E30)+LN(T$7)*$E30+LN(1-T$7)*($D30-$E30))</f>
        <v>4.9886844469620211E-13</v>
      </c>
      <c r="U30" s="102">
        <f>EXP(lncombin($B30,$C30)+LN(U$6)*$C30+LN(1-U$6)*($B30-$C30)+lncombin($D30,$E30)+LN(U$7)*$E30+LN(1-U$7)*($D30-$E30))</f>
        <v>2.3497661496075941E-7</v>
      </c>
      <c r="V30" s="102">
        <f>EXP(lncombin($B30,$C30)+LN(V$6)*$C30+LN(1-V$6)*($B30-$C30)+lncombin($D30,$E30)+LN(V$7)*$E30+LN(1-V$7)*($D30-$E30))</f>
        <v>1.1954059455864933E-3</v>
      </c>
      <c r="W30" s="102">
        <f>EXP(lncombin($B30,$C30)+LN(W$6)*$C30+LN(1-W$6)*($B30-$C30)+lncombin($D30,$E30)+LN(W$7)*$E30+LN(1-W$7)*($D30-$E30))</f>
        <v>6.8476160925186142E-3</v>
      </c>
      <c r="X30" s="102">
        <f>EXP(lncombin($B30,$C30)+LN(X$6)*$C30+LN(1-X$6)*($B30-$C30)+lncombin($D30,$E30)+LN(X$7)*$E30+LN(1-X$7)*($D30-$E30))</f>
        <v>1.4333812909357764E-6</v>
      </c>
      <c r="Y30" s="102">
        <f>EXP(lncombin($B30,$C30)+LN(Y$6)*$C30+LN(1-Y$6)*($B30-$C30)+lncombin($D30,$E30)+LN(Y$7)*$E30+LN(1-Y$7)*($D30-$E30))</f>
        <v>8.7118444507386682E-17</v>
      </c>
      <c r="Z30" s="102">
        <f>EXP(lncombin($B30,$C30)+LN(Z$6)*$C30+LN(1-Z$6)*($B30-$C30)+lncombin($D30,$E30)+LN(Z$7)*$E30+LN(1-Z$7)*($D30-$E30))</f>
        <v>2.5618592963581246E-36</v>
      </c>
      <c r="AA30" s="102">
        <f>EXP(lncombin($B30,$C30)+LN(AA$6)*$C30+LN(1-AA$6)*($B30-$C30)+lncombin($D30,$E30)+LN(AA$7)*$E30+LN(1-AA$7)*($D30-$E30))</f>
        <v>1.2250913899554093E-68</v>
      </c>
      <c r="AB30" s="102">
        <f>EXP(lncombin($B30,$C30)+LN(AB$6)*$C30+LN(1-AB$6)*($B30-$C30)+lncombin($D30,$E30)+LN(AB$7)*$E30+LN(1-AB$7)*($D30-$E30))</f>
        <v>6.9267505253630638E-118</v>
      </c>
      <c r="AC30" s="102">
        <f>EXP(lncombin($B30,$C30)+LN(AC$6)*$C30+LN(1-AC$6)*($B30-$C30)+lncombin($D30,$E30)+LN(AC$7)*$E30+LN(1-AC$7)*($D30-$E30))</f>
        <v>8.3119348558876666E-189</v>
      </c>
      <c r="AD30" s="102">
        <f>EXP(lncombin($B30,$C30)+LN(AD$6)*$C30+LN(1-AD$6)*($B30-$C30)+lncombin($D30,$E30)+LN(AD$7)*$E30+LN(1-AD$7)*($D30-$E30))</f>
        <v>1.056051548959832E-286</v>
      </c>
      <c r="AE30" s="102">
        <f>EXP(lncombin($B30,$C30)+LN(AE$6)*$C30+LN(1-AE$6)*($B30-$C30)+lncombin($D30,$E30)+LN(AE$7)*$E30+LN(1-AE$7)*($D30-$E30))</f>
        <v>0</v>
      </c>
      <c r="AF30" s="102">
        <f>EXP(lncombin($B30,$C30)+LN(AF$6)*$C30+LN(1-AF$6)*($B30-$C30)+lncombin($D30,$E30)+LN(AF$7)*$E30+LN(1-AF$7)*($D30-$E30))</f>
        <v>0</v>
      </c>
      <c r="AG30" s="102">
        <f>EXP(lncombin($B30,$C30)+LN(AG$6)*$C30+LN(1-AG$6)*($B30-$C30)+lncombin($D30,$E30)+LN(AG$7)*$E30+LN(1-AG$7)*($D30-$E30))</f>
        <v>0</v>
      </c>
      <c r="AH30" s="102">
        <f>EXP(lncombin($B30,$C30)+LN(AH$6)*$C30+LN(1-AH$6)*($B30-$C30)+lncombin($D30,$E30)+LN(AH$7)*$E30+LN(1-AH$7)*($D30-$E30))</f>
        <v>0</v>
      </c>
      <c r="AI30" s="102">
        <f>EXP(lncombin($B30,$C30)+LN(AI$6)*$C30+LN(1-AI$6)*($B30-$C30)+lncombin($D30,$E30)+LN(AI$7)*$E30+LN(1-AI$7)*($D30-$E30))</f>
        <v>0</v>
      </c>
      <c r="AJ30" s="102">
        <f>EXP(lncombin($B30,$C30)+LN(AJ$6)*$C30+LN(1-AJ$6)*($B30-$C30)+lncombin($D30,$E30)+LN(AJ$7)*$E30+LN(1-AJ$7)*($D30-$E30))</f>
        <v>0</v>
      </c>
      <c r="AK30" s="102">
        <f>EXP(lncombin($B30,$C30)+LN(AK$6)*$C30+LN(1-AK$6)*($B30-$C30)+lncombin($D30,$E30)+LN(AK$7)*$E30+LN(1-AK$7)*($D30-$E30))</f>
        <v>0</v>
      </c>
      <c r="AL30" s="102">
        <f>EXP(lncombin($B30,$C30)+LN(AL$6)*$C30+LN(1-AL$6)*($B30-$C30)+lncombin($D30,$E30)+LN(AL$7)*$E30+LN(1-AL$7)*($D30-$E30))</f>
        <v>0</v>
      </c>
      <c r="AM30" s="102">
        <f>EXP(lncombin($B30,$C30)+LN(AM$6)*$C30+LN(1-AM$6)*($B30-$C30)+lncombin($D30,$E30)+LN(AM$7)*$E30+LN(1-AM$7)*($D30-$E30))</f>
        <v>0</v>
      </c>
      <c r="AN30" s="102">
        <f>EXP(lncombin($B30,$C30)+LN(AN$6)*$C30+LN(1-AN$6)*($B30-$C30)+lncombin($D30,$E30)+LN(AN$7)*$E30+LN(1-AN$7)*($D30-$E30))</f>
        <v>0</v>
      </c>
    </row>
    <row r="31" spans="1:40">
      <c r="A31">
        <v>2008</v>
      </c>
      <c r="B31">
        <v>3327</v>
      </c>
      <c r="C31">
        <v>14</v>
      </c>
      <c r="D31" s="3">
        <v>2403</v>
      </c>
      <c r="E31">
        <v>89</v>
      </c>
      <c r="G31" s="18">
        <f t="shared" si="2"/>
        <v>-17.699655380504627</v>
      </c>
      <c r="H31" s="7"/>
      <c r="I31" s="102">
        <f>EXP(lncombin($B31,$C31)+LN(I$6)*$C31+LN(1-I$6)*($B31-$C31)+lncombin($D31,$E31)+LN(I$7)*$E31+LN(1-I$7)*($D31-$E31))</f>
        <v>0</v>
      </c>
      <c r="J31" s="102">
        <f>EXP(lncombin($B31,$C31)+LN(J$6)*$C31+LN(1-J$6)*($B31-$C31)+lncombin($D31,$E31)+LN(J$7)*$E31+LN(1-J$7)*($D31-$E31))</f>
        <v>0</v>
      </c>
      <c r="K31" s="102">
        <f>EXP(lncombin($B31,$C31)+LN(K$6)*$C31+LN(1-K$6)*($B31-$C31)+lncombin($D31,$E31)+LN(K$7)*$E31+LN(1-K$7)*($D31-$E31))</f>
        <v>0</v>
      </c>
      <c r="L31" s="102">
        <f>EXP(lncombin($B31,$C31)+LN(L$6)*$C31+LN(1-L$6)*($B31-$C31)+lncombin($D31,$E31)+LN(L$7)*$E31+LN(1-L$7)*($D31-$E31))</f>
        <v>0</v>
      </c>
      <c r="M31" s="102">
        <f>EXP(lncombin($B31,$C31)+LN(M$6)*$C31+LN(1-M$6)*($B31-$C31)+lncombin($D31,$E31)+LN(M$7)*$E31+LN(1-M$7)*($D31-$E31))</f>
        <v>0</v>
      </c>
      <c r="N31" s="102">
        <f>EXP(lncombin($B31,$C31)+LN(N$6)*$C31+LN(1-N$6)*($B31-$C31)+lncombin($D31,$E31)+LN(N$7)*$E31+LN(1-N$7)*($D31-$E31))</f>
        <v>0</v>
      </c>
      <c r="O31" s="102">
        <f>EXP(lncombin($B31,$C31)+LN(O$6)*$C31+LN(1-O$6)*($B31-$C31)+lncombin($D31,$E31)+LN(O$7)*$E31+LN(1-O$7)*($D31-$E31))</f>
        <v>0</v>
      </c>
      <c r="P31" s="102">
        <f>EXP(lncombin($B31,$C31)+LN(P$6)*$C31+LN(1-P$6)*($B31-$C31)+lncombin($D31,$E31)+LN(P$7)*$E31+LN(1-P$7)*($D31-$E31))</f>
        <v>3.180628004025752E-261</v>
      </c>
      <c r="Q31" s="102">
        <f>EXP(lncombin($B31,$C31)+LN(Q$6)*$C31+LN(1-Q$6)*($B31-$C31)+lncombin($D31,$E31)+LN(Q$7)*$E31+LN(1-Q$7)*($D31-$E31))</f>
        <v>9.8001519271889529E-218</v>
      </c>
      <c r="R31" s="102">
        <f>EXP(lncombin($B31,$C31)+LN(R$6)*$C31+LN(1-R$6)*($B31-$C31)+lncombin($D31,$E31)+LN(R$7)*$E31+LN(1-R$7)*($D31-$E31))</f>
        <v>8.6176305585753351E-178</v>
      </c>
      <c r="S31" s="102">
        <f>EXP(lncombin($B31,$C31)+LN(S$6)*$C31+LN(1-S$6)*($B31-$C31)+lncombin($D31,$E31)+LN(S$7)*$E31+LN(1-S$7)*($D31-$E31))</f>
        <v>3.8376172996227134E-141</v>
      </c>
      <c r="T31" s="102">
        <f>EXP(lncombin($B31,$C31)+LN(T$6)*$C31+LN(1-T$6)*($B31-$C31)+lncombin($D31,$E31)+LN(T$7)*$E31+LN(1-T$7)*($D31-$E31))</f>
        <v>1.0191088174629616E-107</v>
      </c>
      <c r="U31" s="102">
        <f>EXP(lncombin($B31,$C31)+LN(U$6)*$C31+LN(1-U$6)*($B31-$C31)+lncombin($D31,$E31)+LN(U$7)*$E31+LN(1-U$7)*($D31-$E31))</f>
        <v>1.1249244214945428E-77</v>
      </c>
      <c r="V31" s="102">
        <f>EXP(lncombin($B31,$C31)+LN(V$6)*$C31+LN(1-V$6)*($B31-$C31)+lncombin($D31,$E31)+LN(V$7)*$E31+LN(1-V$7)*($D31-$E31))</f>
        <v>1.76129716575518E-51</v>
      </c>
      <c r="W31" s="102">
        <f>EXP(lncombin($B31,$C31)+LN(W$6)*$C31+LN(1-W$6)*($B31-$C31)+lncombin($D31,$E31)+LN(W$7)*$E31+LN(1-W$7)*($D31-$E31))</f>
        <v>5.1052280689097109E-30</v>
      </c>
      <c r="X31" s="102">
        <f>EXP(lncombin($B31,$C31)+LN(X$6)*$C31+LN(1-X$6)*($B31-$C31)+lncombin($D31,$E31)+LN(X$7)*$E31+LN(1-X$7)*($D31-$E31))</f>
        <v>1.0474401871979171E-14</v>
      </c>
      <c r="Y31" s="102">
        <f>EXP(lncombin($B31,$C31)+LN(Y$6)*$C31+LN(1-Y$6)*($B31-$C31)+lncombin($D31,$E31)+LN(Y$7)*$E31+LN(1-Y$7)*($D31-$E31))</f>
        <v>1.3477928289096665E-7</v>
      </c>
      <c r="Z31" s="102">
        <f>EXP(lncombin($B31,$C31)+LN(Z$6)*$C31+LN(1-Z$6)*($B31-$C31)+lncombin($D31,$E31)+LN(Z$7)*$E31+LN(1-Z$7)*($D31-$E31))</f>
        <v>1.9226795236121338E-11</v>
      </c>
      <c r="AA31" s="102">
        <f>EXP(lncombin($B31,$C31)+LN(AA$6)*$C31+LN(1-AA$6)*($B31-$C31)+lncombin($D31,$E31)+LN(AA$7)*$E31+LN(1-AA$7)*($D31-$E31))</f>
        <v>1.0370376303566067E-29</v>
      </c>
      <c r="AB31" s="102">
        <f>EXP(lncombin($B31,$C31)+LN(AB$6)*$C31+LN(1-AB$6)*($B31-$C31)+lncombin($D31,$E31)+LN(AB$7)*$E31+LN(1-AB$7)*($D31-$E31))</f>
        <v>1.5020591680298562E-66</v>
      </c>
      <c r="AC31" s="102">
        <f>EXP(lncombin($B31,$C31)+LN(AC$6)*$C31+LN(1-AC$6)*($B31-$C31)+lncombin($D31,$E31)+LN(AC$7)*$E31+LN(1-AC$7)*($D31-$E31))</f>
        <v>9.9312673782602234E-127</v>
      </c>
      <c r="AD31" s="102">
        <f>EXP(lncombin($B31,$C31)+LN(AD$6)*$C31+LN(1-AD$6)*($B31-$C31)+lncombin($D31,$E31)+LN(AD$7)*$E31+LN(1-AD$7)*($D31-$E31))</f>
        <v>1.3824802334933114E-215</v>
      </c>
      <c r="AE31" s="102">
        <f>EXP(lncombin($B31,$C31)+LN(AE$6)*$C31+LN(1-AE$6)*($B31-$C31)+lncombin($D31,$E31)+LN(AE$7)*$E31+LN(1-AE$7)*($D31-$E31))</f>
        <v>0</v>
      </c>
      <c r="AF31" s="102">
        <f>EXP(lncombin($B31,$C31)+LN(AF$6)*$C31+LN(1-AF$6)*($B31-$C31)+lncombin($D31,$E31)+LN(AF$7)*$E31+LN(1-AF$7)*($D31-$E31))</f>
        <v>0</v>
      </c>
      <c r="AG31" s="102">
        <f>EXP(lncombin($B31,$C31)+LN(AG$6)*$C31+LN(1-AG$6)*($B31-$C31)+lncombin($D31,$E31)+LN(AG$7)*$E31+LN(1-AG$7)*($D31-$E31))</f>
        <v>0</v>
      </c>
      <c r="AH31" s="102">
        <f>EXP(lncombin($B31,$C31)+LN(AH$6)*$C31+LN(1-AH$6)*($B31-$C31)+lncombin($D31,$E31)+LN(AH$7)*$E31+LN(1-AH$7)*($D31-$E31))</f>
        <v>0</v>
      </c>
      <c r="AI31" s="102">
        <f>EXP(lncombin($B31,$C31)+LN(AI$6)*$C31+LN(1-AI$6)*($B31-$C31)+lncombin($D31,$E31)+LN(AI$7)*$E31+LN(1-AI$7)*($D31-$E31))</f>
        <v>0</v>
      </c>
      <c r="AJ31" s="102">
        <f>EXP(lncombin($B31,$C31)+LN(AJ$6)*$C31+LN(1-AJ$6)*($B31-$C31)+lncombin($D31,$E31)+LN(AJ$7)*$E31+LN(1-AJ$7)*($D31-$E31))</f>
        <v>0</v>
      </c>
      <c r="AK31" s="102">
        <f>EXP(lncombin($B31,$C31)+LN(AK$6)*$C31+LN(1-AK$6)*($B31-$C31)+lncombin($D31,$E31)+LN(AK$7)*$E31+LN(1-AK$7)*($D31-$E31))</f>
        <v>0</v>
      </c>
      <c r="AL31" s="102">
        <f>EXP(lncombin($B31,$C31)+LN(AL$6)*$C31+LN(1-AL$6)*($B31-$C31)+lncombin($D31,$E31)+LN(AL$7)*$E31+LN(1-AL$7)*($D31-$E31))</f>
        <v>0</v>
      </c>
      <c r="AM31" s="102">
        <f>EXP(lncombin($B31,$C31)+LN(AM$6)*$C31+LN(1-AM$6)*($B31-$C31)+lncombin($D31,$E31)+LN(AM$7)*$E31+LN(1-AM$7)*($D31-$E31))</f>
        <v>0</v>
      </c>
      <c r="AN31" s="102">
        <f>EXP(lncombin($B31,$C31)+LN(AN$6)*$C31+LN(1-AN$6)*($B31-$C31)+lncombin($D31,$E31)+LN(AN$7)*$E31+LN(1-AN$7)*($D31-$E31))</f>
        <v>0</v>
      </c>
    </row>
    <row r="32" spans="1:40">
      <c r="A32">
        <v>2009</v>
      </c>
      <c r="B32">
        <v>3361</v>
      </c>
      <c r="C32">
        <v>11</v>
      </c>
      <c r="D32" s="3">
        <v>2254</v>
      </c>
      <c r="E32">
        <v>224</v>
      </c>
      <c r="G32" s="18">
        <f t="shared" si="2"/>
        <v>-12.504417978700298</v>
      </c>
      <c r="H32" s="7"/>
      <c r="I32" s="102">
        <f>EXP(lncombin($B32,$C32)+LN(I$6)*$C32+LN(1-I$6)*($B32-$C32)+lncombin($D32,$E32)+LN(I$7)*$E32+LN(1-I$7)*($D32-$E32))</f>
        <v>0</v>
      </c>
      <c r="J32" s="102">
        <f>EXP(lncombin($B32,$C32)+LN(J$6)*$C32+LN(1-J$6)*($B32-$C32)+lncombin($D32,$E32)+LN(J$7)*$E32+LN(1-J$7)*($D32-$E32))</f>
        <v>0</v>
      </c>
      <c r="K32" s="102">
        <f>EXP(lncombin($B32,$C32)+LN(K$6)*$C32+LN(1-K$6)*($B32-$C32)+lncombin($D32,$E32)+LN(K$7)*$E32+LN(1-K$7)*($D32-$E32))</f>
        <v>0</v>
      </c>
      <c r="L32" s="102">
        <f>EXP(lncombin($B32,$C32)+LN(L$6)*$C32+LN(1-L$6)*($B32-$C32)+lncombin($D32,$E32)+LN(L$7)*$E32+LN(1-L$7)*($D32-$E32))</f>
        <v>0</v>
      </c>
      <c r="M32" s="102">
        <f>EXP(lncombin($B32,$C32)+LN(M$6)*$C32+LN(1-M$6)*($B32-$C32)+lncombin($D32,$E32)+LN(M$7)*$E32+LN(1-M$7)*($D32-$E32))</f>
        <v>0</v>
      </c>
      <c r="N32" s="102">
        <f>EXP(lncombin($B32,$C32)+LN(N$6)*$C32+LN(1-N$6)*($B32-$C32)+lncombin($D32,$E32)+LN(N$7)*$E32+LN(1-N$7)*($D32-$E32))</f>
        <v>0</v>
      </c>
      <c r="O32" s="102">
        <f>EXP(lncombin($B32,$C32)+LN(O$6)*$C32+LN(1-O$6)*($B32-$C32)+lncombin($D32,$E32)+LN(O$7)*$E32+LN(1-O$7)*($D32-$E32))</f>
        <v>0</v>
      </c>
      <c r="P32" s="102">
        <f>EXP(lncombin($B32,$C32)+LN(P$6)*$C32+LN(1-P$6)*($B32-$C32)+lncombin($D32,$E32)+LN(P$7)*$E32+LN(1-P$7)*($D32-$E32))</f>
        <v>0</v>
      </c>
      <c r="Q32" s="102">
        <f>EXP(lncombin($B32,$C32)+LN(Q$6)*$C32+LN(1-Q$6)*($B32-$C32)+lncombin($D32,$E32)+LN(Q$7)*$E32+LN(1-Q$7)*($D32-$E32))</f>
        <v>0</v>
      </c>
      <c r="R32" s="102">
        <f>EXP(lncombin($B32,$C32)+LN(R$6)*$C32+LN(1-R$6)*($B32-$C32)+lncombin($D32,$E32)+LN(R$7)*$E32+LN(1-R$7)*($D32-$E32))</f>
        <v>0</v>
      </c>
      <c r="S32" s="102">
        <f>EXP(lncombin($B32,$C32)+LN(S$6)*$C32+LN(1-S$6)*($B32-$C32)+lncombin($D32,$E32)+LN(S$7)*$E32+LN(1-S$7)*($D32-$E32))</f>
        <v>0</v>
      </c>
      <c r="T32" s="102">
        <f>EXP(lncombin($B32,$C32)+LN(T$6)*$C32+LN(1-T$6)*($B32-$C32)+lncombin($D32,$E32)+LN(T$7)*$E32+LN(1-T$7)*($D32-$E32))</f>
        <v>0</v>
      </c>
      <c r="U32" s="102">
        <f>EXP(lncombin($B32,$C32)+LN(U$6)*$C32+LN(1-U$6)*($B32-$C32)+lncombin($D32,$E32)+LN(U$7)*$E32+LN(1-U$7)*($D32-$E32))</f>
        <v>2.2397261146953603E-271</v>
      </c>
      <c r="V32" s="102">
        <f>EXP(lncombin($B32,$C32)+LN(V$6)*$C32+LN(1-V$6)*($B32-$C32)+lncombin($D32,$E32)+LN(V$7)*$E32+LN(1-V$7)*($D32-$E32))</f>
        <v>2.4863526685687661E-202</v>
      </c>
      <c r="W32" s="102">
        <f>EXP(lncombin($B32,$C32)+LN(W$6)*$C32+LN(1-W$6)*($B32-$C32)+lncombin($D32,$E32)+LN(W$7)*$E32+LN(1-W$7)*($D32-$E32))</f>
        <v>3.7640910214695413E-141</v>
      </c>
      <c r="X32" s="102">
        <f>EXP(lncombin($B32,$C32)+LN(X$6)*$C32+LN(1-X$6)*($B32-$C32)+lncombin($D32,$E32)+LN(X$7)*$E32+LN(1-X$7)*($D32-$E32))</f>
        <v>6.945662753546294E-89</v>
      </c>
      <c r="Y32" s="102">
        <f>EXP(lncombin($B32,$C32)+LN(Y$6)*$C32+LN(1-Y$6)*($B32-$C32)+lncombin($D32,$E32)+LN(Y$7)*$E32+LN(1-Y$7)*($D32-$E32))</f>
        <v>3.6014290987539249E-47</v>
      </c>
      <c r="Z32" s="102">
        <f>EXP(lncombin($B32,$C32)+LN(Z$6)*$C32+LN(1-Z$6)*($B32-$C32)+lncombin($D32,$E32)+LN(Z$7)*$E32+LN(1-Z$7)*($D32-$E32))</f>
        <v>2.7788117520782789E-18</v>
      </c>
      <c r="AA32" s="102">
        <f>EXP(lncombin($B32,$C32)+LN(AA$6)*$C32+LN(1-AA$6)*($B32-$C32)+lncombin($D32,$E32)+LN(AA$7)*$E32+LN(1-AA$7)*($D32-$E32))</f>
        <v>3.8165989770420115E-5</v>
      </c>
      <c r="AB32" s="102">
        <f>EXP(lncombin($B32,$C32)+LN(AB$6)*$C32+LN(1-AB$6)*($B32-$C32)+lncombin($D32,$E32)+LN(AB$7)*$E32+LN(1-AB$7)*($D32-$E32))</f>
        <v>2.7262251506446114E-11</v>
      </c>
      <c r="AC32" s="102">
        <f>EXP(lncombin($B32,$C32)+LN(AC$6)*$C32+LN(1-AC$6)*($B32-$C32)+lncombin($D32,$E32)+LN(AC$7)*$E32+LN(1-AC$7)*($D32-$E32))</f>
        <v>8.2514445559769615E-41</v>
      </c>
      <c r="AD32" s="102">
        <f>EXP(lncombin($B32,$C32)+LN(AD$6)*$C32+LN(1-AD$6)*($B32-$C32)+lncombin($D32,$E32)+LN(AD$7)*$E32+LN(1-AD$7)*($D32-$E32))</f>
        <v>2.7125514750723483E-98</v>
      </c>
      <c r="AE32" s="102">
        <f>EXP(lncombin($B32,$C32)+LN(AE$6)*$C32+LN(1-AE$6)*($B32-$C32)+lncombin($D32,$E32)+LN(AE$7)*$E32+LN(1-AE$7)*($D32-$E32))</f>
        <v>8.0628907198613694E-189</v>
      </c>
      <c r="AF32" s="102">
        <f>EXP(lncombin($B32,$C32)+LN(AF$6)*$C32+LN(1-AF$6)*($B32-$C32)+lncombin($D32,$E32)+LN(AF$7)*$E32+LN(1-AF$7)*($D32-$E32))</f>
        <v>0</v>
      </c>
      <c r="AG32" s="102">
        <f>EXP(lncombin($B32,$C32)+LN(AG$6)*$C32+LN(1-AG$6)*($B32-$C32)+lncombin($D32,$E32)+LN(AG$7)*$E32+LN(1-AG$7)*($D32-$E32))</f>
        <v>0</v>
      </c>
      <c r="AH32" s="102">
        <f>EXP(lncombin($B32,$C32)+LN(AH$6)*$C32+LN(1-AH$6)*($B32-$C32)+lncombin($D32,$E32)+LN(AH$7)*$E32+LN(1-AH$7)*($D32-$E32))</f>
        <v>0</v>
      </c>
      <c r="AI32" s="102">
        <f>EXP(lncombin($B32,$C32)+LN(AI$6)*$C32+LN(1-AI$6)*($B32-$C32)+lncombin($D32,$E32)+LN(AI$7)*$E32+LN(1-AI$7)*($D32-$E32))</f>
        <v>0</v>
      </c>
      <c r="AJ32" s="102">
        <f>EXP(lncombin($B32,$C32)+LN(AJ$6)*$C32+LN(1-AJ$6)*($B32-$C32)+lncombin($D32,$E32)+LN(AJ$7)*$E32+LN(1-AJ$7)*($D32-$E32))</f>
        <v>0</v>
      </c>
      <c r="AK32" s="102">
        <f>EXP(lncombin($B32,$C32)+LN(AK$6)*$C32+LN(1-AK$6)*($B32-$C32)+lncombin($D32,$E32)+LN(AK$7)*$E32+LN(1-AK$7)*($D32-$E32))</f>
        <v>0</v>
      </c>
      <c r="AL32" s="102">
        <f>EXP(lncombin($B32,$C32)+LN(AL$6)*$C32+LN(1-AL$6)*($B32-$C32)+lncombin($D32,$E32)+LN(AL$7)*$E32+LN(1-AL$7)*($D32-$E32))</f>
        <v>0</v>
      </c>
      <c r="AM32" s="102">
        <f>EXP(lncombin($B32,$C32)+LN(AM$6)*$C32+LN(1-AM$6)*($B32-$C32)+lncombin($D32,$E32)+LN(AM$7)*$E32+LN(1-AM$7)*($D32-$E32))</f>
        <v>0</v>
      </c>
      <c r="AN32" s="102">
        <f>EXP(lncombin($B32,$C32)+LN(AN$6)*$C32+LN(1-AN$6)*($B32-$C32)+lncombin($D32,$E32)+LN(AN$7)*$E32+LN(1-AN$7)*($D32-$E32))</f>
        <v>0</v>
      </c>
    </row>
    <row r="33" spans="1:40">
      <c r="A33">
        <v>2010</v>
      </c>
      <c r="B33">
        <v>3189</v>
      </c>
      <c r="C33">
        <v>0</v>
      </c>
      <c r="D33" s="3">
        <v>2120</v>
      </c>
      <c r="E33">
        <v>64</v>
      </c>
      <c r="G33" s="18">
        <f t="shared" si="2"/>
        <v>-8.4685712029223801</v>
      </c>
      <c r="H33" s="7"/>
      <c r="I33" s="102">
        <f>EXP(lncombin($B33,$C33)+LN(I$6)*$C33+LN(1-I$6)*($B33-$C33)+lncombin($D33,$E33)+LN(I$7)*$E33+LN(1-I$7)*($D33-$E33))</f>
        <v>0</v>
      </c>
      <c r="J33" s="102">
        <f>EXP(lncombin($B33,$C33)+LN(J$6)*$C33+LN(1-J$6)*($B33-$C33)+lncombin($D33,$E33)+LN(J$7)*$E33+LN(1-J$7)*($D33-$E33))</f>
        <v>0</v>
      </c>
      <c r="K33" s="102">
        <f>EXP(lncombin($B33,$C33)+LN(K$6)*$C33+LN(1-K$6)*($B33-$C33)+lncombin($D33,$E33)+LN(K$7)*$E33+LN(1-K$7)*($D33-$E33))</f>
        <v>0</v>
      </c>
      <c r="L33" s="102">
        <f>EXP(lncombin($B33,$C33)+LN(L$6)*$C33+LN(1-L$6)*($B33-$C33)+lncombin($D33,$E33)+LN(L$7)*$E33+LN(1-L$7)*($D33-$E33))</f>
        <v>0</v>
      </c>
      <c r="M33" s="102">
        <f>EXP(lncombin($B33,$C33)+LN(M$6)*$C33+LN(1-M$6)*($B33-$C33)+lncombin($D33,$E33)+LN(M$7)*$E33+LN(1-M$7)*($D33-$E33))</f>
        <v>5.0519949587186709E-283</v>
      </c>
      <c r="N33" s="102">
        <f>EXP(lncombin($B33,$C33)+LN(N$6)*$C33+LN(1-N$6)*($B33-$C33)+lncombin($D33,$E33)+LN(N$7)*$E33+LN(1-N$7)*($D33-$E33))</f>
        <v>1.1106602298201165E-242</v>
      </c>
      <c r="O33" s="102">
        <f>EXP(lncombin($B33,$C33)+LN(O$6)*$C33+LN(1-O$6)*($B33-$C33)+lncombin($D33,$E33)+LN(O$7)*$E33+LN(1-O$7)*($D33-$E33))</f>
        <v>3.3421657171472836E-206</v>
      </c>
      <c r="P33" s="102">
        <f>EXP(lncombin($B33,$C33)+LN(P$6)*$C33+LN(1-P$6)*($B33-$C33)+lncombin($D33,$E33)+LN(P$7)*$E33+LN(1-P$7)*($D33-$E33))</f>
        <v>5.7393479159555481E-173</v>
      </c>
      <c r="Q33" s="102">
        <f>EXP(lncombin($B33,$C33)+LN(Q$6)*$C33+LN(1-Q$6)*($B33-$C33)+lncombin($D33,$E33)+LN(Q$7)*$E33+LN(1-Q$7)*($D33-$E33))</f>
        <v>1.4935706373962764E-142</v>
      </c>
      <c r="R33" s="102">
        <f>EXP(lncombin($B33,$C33)+LN(R$6)*$C33+LN(1-R$6)*($B33-$C33)+lncombin($D33,$E33)+LN(R$7)*$E33+LN(1-R$7)*($D33-$E33))</f>
        <v>1.1315588671744994E-114</v>
      </c>
      <c r="S33" s="102">
        <f>EXP(lncombin($B33,$C33)+LN(S$6)*$C33+LN(1-S$6)*($B33-$C33)+lncombin($D33,$E33)+LN(S$7)*$E33+LN(1-S$7)*($D33-$E33))</f>
        <v>3.5834876958857561E-89</v>
      </c>
      <c r="T33" s="102">
        <f>EXP(lncombin($B33,$C33)+LN(T$6)*$C33+LN(1-T$6)*($B33-$C33)+lncombin($D33,$E33)+LN(T$7)*$E33+LN(1-T$7)*($D33-$E33))</f>
        <v>4.8844352872362933E-66</v>
      </c>
      <c r="U33" s="102">
        <f>EXP(lncombin($B33,$C33)+LN(U$6)*$C33+LN(1-U$6)*($B33-$C33)+lncombin($D33,$E33)+LN(U$7)*$E33+LN(1-U$7)*($D33-$E33))</f>
        <v>1.8950585647257601E-45</v>
      </c>
      <c r="V33" s="102">
        <f>EXP(lncombin($B33,$C33)+LN(V$6)*$C33+LN(1-V$6)*($B33-$C33)+lncombin($D33,$E33)+LN(V$7)*$E33+LN(1-V$7)*($D33-$E33))</f>
        <v>7.4646608539491981E-28</v>
      </c>
      <c r="W33" s="102">
        <f>EXP(lncombin($B33,$C33)+LN(W$6)*$C33+LN(1-W$6)*($B33-$C33)+lncombin($D33,$E33)+LN(W$7)*$E33+LN(1-W$7)*($D33-$E33))</f>
        <v>4.5928016176418849E-14</v>
      </c>
      <c r="X33" s="102">
        <f>EXP(lncombin($B33,$C33)+LN(X$6)*$C33+LN(1-X$6)*($B33-$C33)+lncombin($D33,$E33)+LN(X$7)*$E33+LN(1-X$7)*($D33-$E33))</f>
        <v>2.3043646801306663E-5</v>
      </c>
      <c r="Y33" s="102">
        <f>EXP(lncombin($B33,$C33)+LN(Y$6)*$C33+LN(1-Y$6)*($B33-$C33)+lncombin($D33,$E33)+LN(Y$7)*$E33+LN(1-Y$7)*($D33-$E33))</f>
        <v>1.3531686043405731E-3</v>
      </c>
      <c r="Z33" s="102">
        <f>EXP(lncombin($B33,$C33)+LN(Z$6)*$C33+LN(1-Z$6)*($B33-$C33)+lncombin($D33,$E33)+LN(Z$7)*$E33+LN(1-Z$7)*($D33-$E33))</f>
        <v>3.2066163165031716E-11</v>
      </c>
      <c r="AA33" s="102">
        <f>EXP(lncombin($B33,$C33)+LN(AA$6)*$C33+LN(1-AA$6)*($B33-$C33)+lncombin($D33,$E33)+LN(AA$7)*$E33+LN(1-AA$7)*($D33-$E33))</f>
        <v>2.4619045450522222E-31</v>
      </c>
      <c r="AB33" s="102">
        <f>EXP(lncombin($B33,$C33)+LN(AB$6)*$C33+LN(1-AB$6)*($B33-$C33)+lncombin($D33,$E33)+LN(AB$7)*$E33+LN(1-AB$7)*($D33-$E33))</f>
        <v>1.2235895076698227E-67</v>
      </c>
      <c r="AC33" s="102">
        <f>EXP(lncombin($B33,$C33)+LN(AC$6)*$C33+LN(1-AC$6)*($B33-$C33)+lncombin($D33,$E33)+LN(AC$7)*$E33+LN(1-AC$7)*($D33-$E33))</f>
        <v>2.2124250306997636E-124</v>
      </c>
      <c r="AD33" s="102">
        <f>EXP(lncombin($B33,$C33)+LN(AD$6)*$C33+LN(1-AD$6)*($B33-$C33)+lncombin($D33,$E33)+LN(AD$7)*$E33+LN(1-AD$7)*($D33-$E33))</f>
        <v>2.5682344213252209E-206</v>
      </c>
      <c r="AE33" s="102">
        <f>EXP(lncombin($B33,$C33)+LN(AE$6)*$C33+LN(1-AE$6)*($B33-$C33)+lncombin($D33,$E33)+LN(AE$7)*$E33+LN(1-AE$7)*($D33-$E33))</f>
        <v>0</v>
      </c>
      <c r="AF33" s="102">
        <f>EXP(lncombin($B33,$C33)+LN(AF$6)*$C33+LN(1-AF$6)*($B33-$C33)+lncombin($D33,$E33)+LN(AF$7)*$E33+LN(1-AF$7)*($D33-$E33))</f>
        <v>0</v>
      </c>
      <c r="AG33" s="102">
        <f>EXP(lncombin($B33,$C33)+LN(AG$6)*$C33+LN(1-AG$6)*($B33-$C33)+lncombin($D33,$E33)+LN(AG$7)*$E33+LN(1-AG$7)*($D33-$E33))</f>
        <v>0</v>
      </c>
      <c r="AH33" s="102">
        <f>EXP(lncombin($B33,$C33)+LN(AH$6)*$C33+LN(1-AH$6)*($B33-$C33)+lncombin($D33,$E33)+LN(AH$7)*$E33+LN(1-AH$7)*($D33-$E33))</f>
        <v>0</v>
      </c>
      <c r="AI33" s="102">
        <f>EXP(lncombin($B33,$C33)+LN(AI$6)*$C33+LN(1-AI$6)*($B33-$C33)+lncombin($D33,$E33)+LN(AI$7)*$E33+LN(1-AI$7)*($D33-$E33))</f>
        <v>0</v>
      </c>
      <c r="AJ33" s="102">
        <f>EXP(lncombin($B33,$C33)+LN(AJ$6)*$C33+LN(1-AJ$6)*($B33-$C33)+lncombin($D33,$E33)+LN(AJ$7)*$E33+LN(1-AJ$7)*($D33-$E33))</f>
        <v>0</v>
      </c>
      <c r="AK33" s="102">
        <f>EXP(lncombin($B33,$C33)+LN(AK$6)*$C33+LN(1-AK$6)*($B33-$C33)+lncombin($D33,$E33)+LN(AK$7)*$E33+LN(1-AK$7)*($D33-$E33))</f>
        <v>0</v>
      </c>
      <c r="AL33" s="102">
        <f>EXP(lncombin($B33,$C33)+LN(AL$6)*$C33+LN(1-AL$6)*($B33-$C33)+lncombin($D33,$E33)+LN(AL$7)*$E33+LN(1-AL$7)*($D33-$E33))</f>
        <v>0</v>
      </c>
      <c r="AM33" s="102">
        <f>EXP(lncombin($B33,$C33)+LN(AM$6)*$C33+LN(1-AM$6)*($B33-$C33)+lncombin($D33,$E33)+LN(AM$7)*$E33+LN(1-AM$7)*($D33-$E33))</f>
        <v>0</v>
      </c>
      <c r="AN33" s="102">
        <f>EXP(lncombin($B33,$C33)+LN(AN$6)*$C33+LN(1-AN$6)*($B33-$C33)+lncombin($D33,$E33)+LN(AN$7)*$E33+LN(1-AN$7)*($D33-$E33))</f>
        <v>0</v>
      </c>
    </row>
    <row r="34" spans="1:40">
      <c r="A34">
        <v>2011</v>
      </c>
      <c r="B34">
        <v>3238</v>
      </c>
      <c r="C34">
        <v>1</v>
      </c>
      <c r="D34" s="3">
        <v>2386</v>
      </c>
      <c r="E34">
        <v>44</v>
      </c>
      <c r="G34" s="18">
        <f t="shared" si="2"/>
        <v>-6.4148526043961356</v>
      </c>
      <c r="H34" s="7"/>
      <c r="I34" s="102">
        <f>EXP(lncombin($B34,$C34)+LN(I$6)*$C34+LN(1-I$6)*($B34-$C34)+lncombin($D34,$E34)+LN(I$7)*$E34+LN(1-I$7)*($D34-$E34))</f>
        <v>0</v>
      </c>
      <c r="J34" s="102">
        <f>EXP(lncombin($B34,$C34)+LN(J$6)*$C34+LN(1-J$6)*($B34-$C34)+lncombin($D34,$E34)+LN(J$7)*$E34+LN(1-J$7)*($D34-$E34))</f>
        <v>9.7362719882115798E-295</v>
      </c>
      <c r="K34" s="102">
        <f>EXP(lncombin($B34,$C34)+LN(K$6)*$C34+LN(1-K$6)*($B34-$C34)+lncombin($D34,$E34)+LN(K$7)*$E34+LN(1-K$7)*($D34-$E34))</f>
        <v>9.144090723381628E-253</v>
      </c>
      <c r="L34" s="102">
        <f>EXP(lncombin($B34,$C34)+LN(L$6)*$C34+LN(1-L$6)*($B34-$C34)+lncombin($D34,$E34)+LN(L$7)*$E34+LN(1-L$7)*($D34-$E34))</f>
        <v>3.0364730829980767E-217</v>
      </c>
      <c r="M34" s="102">
        <f>EXP(lncombin($B34,$C34)+LN(M$6)*$C34+LN(1-M$6)*($B34-$C34)+lncombin($D34,$E34)+LN(M$7)*$E34+LN(1-M$7)*($D34-$E34))</f>
        <v>4.1171278069714833E-186</v>
      </c>
      <c r="N34" s="102">
        <f>EXP(lncombin($B34,$C34)+LN(N$6)*$C34+LN(1-N$6)*($B34-$C34)+lncombin($D34,$E34)+LN(N$7)*$E34+LN(1-N$7)*($D34-$E34))</f>
        <v>2.7106536281481005E-158</v>
      </c>
      <c r="O34" s="102">
        <f>EXP(lncombin($B34,$C34)+LN(O$6)*$C34+LN(1-O$6)*($B34-$C34)+lncombin($D34,$E34)+LN(O$7)*$E34+LN(1-O$7)*($D34-$E34))</f>
        <v>3.858800906904621E-133</v>
      </c>
      <c r="P34" s="102">
        <f>EXP(lncombin($B34,$C34)+LN(P$6)*$C34+LN(1-P$6)*($B34-$C34)+lncombin($D34,$E34)+LN(P$7)*$E34+LN(1-P$7)*($D34-$E34))</f>
        <v>3.1523954270992889E-110</v>
      </c>
      <c r="Q34" s="102">
        <f>EXP(lncombin($B34,$C34)+LN(Q$6)*$C34+LN(1-Q$6)*($B34-$C34)+lncombin($D34,$E34)+LN(Q$7)*$E34+LN(1-Q$7)*($D34-$E34))</f>
        <v>2.8416517655767322E-89</v>
      </c>
      <c r="R34" s="102">
        <f>EXP(lncombin($B34,$C34)+LN(R$6)*$C34+LN(1-R$6)*($B34-$C34)+lncombin($D34,$E34)+LN(R$7)*$E34+LN(1-R$7)*($D34-$E34))</f>
        <v>4.2403321167931206E-70</v>
      </c>
      <c r="S34" s="102">
        <f>EXP(lncombin($B34,$C34)+LN(S$6)*$C34+LN(1-S$6)*($B34-$C34)+lncombin($D34,$E34)+LN(S$7)*$E34+LN(1-S$7)*($D34-$E34))</f>
        <v>1.2224031967598481E-52</v>
      </c>
      <c r="T34" s="102">
        <f>EXP(lncombin($B34,$C34)+LN(T$6)*$C34+LN(1-T$6)*($B34-$C34)+lncombin($D34,$E34)+LN(T$7)*$E34+LN(1-T$7)*($D34-$E34))</f>
        <v>5.7560251422252342E-37</v>
      </c>
      <c r="U34" s="102">
        <f>EXP(lncombin($B34,$C34)+LN(U$6)*$C34+LN(1-U$6)*($B34-$C34)+lncombin($D34,$E34)+LN(U$7)*$E34+LN(1-U$7)*($D34-$E34))</f>
        <v>2.3549860024092451E-23</v>
      </c>
      <c r="V34" s="102">
        <f>EXP(lncombin($B34,$C34)+LN(V$6)*$C34+LN(1-V$6)*($B34-$C34)+lncombin($D34,$E34)+LN(V$7)*$E34+LN(1-V$7)*($D34-$E34))</f>
        <v>2.272667509665099E-12</v>
      </c>
      <c r="W34" s="102">
        <f>EXP(lncombin($B34,$C34)+LN(W$6)*$C34+LN(1-W$6)*($B34-$C34)+lncombin($D34,$E34)+LN(W$7)*$E34+LN(1-W$7)*($D34-$E34))</f>
        <v>5.5169257635674676E-5</v>
      </c>
      <c r="X34" s="102">
        <f>EXP(lncombin($B34,$C34)+LN(X$6)*$C34+LN(1-X$6)*($B34-$C34)+lncombin($D34,$E34)+LN(X$7)*$E34+LN(1-X$7)*($D34-$E34))</f>
        <v>1.0682490407204513E-2</v>
      </c>
      <c r="Y34" s="102">
        <f>EXP(lncombin($B34,$C34)+LN(Y$6)*$C34+LN(1-Y$6)*($B34-$C34)+lncombin($D34,$E34)+LN(Y$7)*$E34+LN(1-Y$7)*($D34-$E34))</f>
        <v>1.2192785980032943E-7</v>
      </c>
      <c r="Z34" s="102">
        <f>EXP(lncombin($B34,$C34)+LN(Z$6)*$C34+LN(1-Z$6)*($B34-$C34)+lncombin($D34,$E34)+LN(Z$7)*$E34+LN(1-Z$7)*($D34-$E34))</f>
        <v>1.2079971386846246E-22</v>
      </c>
      <c r="AA34" s="102">
        <f>EXP(lncombin($B34,$C34)+LN(AA$6)*$C34+LN(1-AA$6)*($B34-$C34)+lncombin($D34,$E34)+LN(AA$7)*$E34+LN(1-AA$7)*($D34-$E34))</f>
        <v>2.934508450645192E-51</v>
      </c>
      <c r="AB34" s="102">
        <f>EXP(lncombin($B34,$C34)+LN(AB$6)*$C34+LN(1-AB$6)*($B34-$C34)+lncombin($D34,$E34)+LN(AB$7)*$E34+LN(1-AB$7)*($D34-$E34))</f>
        <v>1.0194791555908523E-97</v>
      </c>
      <c r="AC34" s="102">
        <f>EXP(lncombin($B34,$C34)+LN(AC$6)*$C34+LN(1-AC$6)*($B34-$C34)+lncombin($D34,$E34)+LN(AC$7)*$E34+LN(1-AC$7)*($D34-$E34))</f>
        <v>6.9986545095531989E-167</v>
      </c>
      <c r="AD34" s="102">
        <f>EXP(lncombin($B34,$C34)+LN(AD$6)*$C34+LN(1-AD$6)*($B34-$C34)+lncombin($D34,$E34)+LN(AD$7)*$E34+LN(1-AD$7)*($D34-$E34))</f>
        <v>3.5156862769846703E-264</v>
      </c>
      <c r="AE34" s="102">
        <f>EXP(lncombin($B34,$C34)+LN(AE$6)*$C34+LN(1-AE$6)*($B34-$C34)+lncombin($D34,$E34)+LN(AE$7)*$E34+LN(1-AE$7)*($D34-$E34))</f>
        <v>0</v>
      </c>
      <c r="AF34" s="102">
        <f>EXP(lncombin($B34,$C34)+LN(AF$6)*$C34+LN(1-AF$6)*($B34-$C34)+lncombin($D34,$E34)+LN(AF$7)*$E34+LN(1-AF$7)*($D34-$E34))</f>
        <v>0</v>
      </c>
      <c r="AG34" s="102">
        <f>EXP(lncombin($B34,$C34)+LN(AG$6)*$C34+LN(1-AG$6)*($B34-$C34)+lncombin($D34,$E34)+LN(AG$7)*$E34+LN(1-AG$7)*($D34-$E34))</f>
        <v>0</v>
      </c>
      <c r="AH34" s="102">
        <f>EXP(lncombin($B34,$C34)+LN(AH$6)*$C34+LN(1-AH$6)*($B34-$C34)+lncombin($D34,$E34)+LN(AH$7)*$E34+LN(1-AH$7)*($D34-$E34))</f>
        <v>0</v>
      </c>
      <c r="AI34" s="102">
        <f>EXP(lncombin($B34,$C34)+LN(AI$6)*$C34+LN(1-AI$6)*($B34-$C34)+lncombin($D34,$E34)+LN(AI$7)*$E34+LN(1-AI$7)*($D34-$E34))</f>
        <v>0</v>
      </c>
      <c r="AJ34" s="102">
        <f>EXP(lncombin($B34,$C34)+LN(AJ$6)*$C34+LN(1-AJ$6)*($B34-$C34)+lncombin($D34,$E34)+LN(AJ$7)*$E34+LN(1-AJ$7)*($D34-$E34))</f>
        <v>0</v>
      </c>
      <c r="AK34" s="102">
        <f>EXP(lncombin($B34,$C34)+LN(AK$6)*$C34+LN(1-AK$6)*($B34-$C34)+lncombin($D34,$E34)+LN(AK$7)*$E34+LN(1-AK$7)*($D34-$E34))</f>
        <v>0</v>
      </c>
      <c r="AL34" s="102">
        <f>EXP(lncombin($B34,$C34)+LN(AL$6)*$C34+LN(1-AL$6)*($B34-$C34)+lncombin($D34,$E34)+LN(AL$7)*$E34+LN(1-AL$7)*($D34-$E34))</f>
        <v>0</v>
      </c>
      <c r="AM34" s="102">
        <f>EXP(lncombin($B34,$C34)+LN(AM$6)*$C34+LN(1-AM$6)*($B34-$C34)+lncombin($D34,$E34)+LN(AM$7)*$E34+LN(1-AM$7)*($D34-$E34))</f>
        <v>0</v>
      </c>
      <c r="AN34" s="102">
        <f>EXP(lncombin($B34,$C34)+LN(AN$6)*$C34+LN(1-AN$6)*($B34-$C34)+lncombin($D34,$E34)+LN(AN$7)*$E34+LN(1-AN$7)*($D34-$E34))</f>
        <v>0</v>
      </c>
    </row>
    <row r="35" spans="1:40">
      <c r="A35">
        <v>2012</v>
      </c>
      <c r="B35">
        <v>3251</v>
      </c>
      <c r="C35">
        <v>0</v>
      </c>
      <c r="D35" s="3">
        <v>2551</v>
      </c>
      <c r="E35">
        <v>66</v>
      </c>
      <c r="F35" s="18"/>
      <c r="G35" s="18">
        <f t="shared" si="2"/>
        <v>-9.5032481045565707</v>
      </c>
      <c r="H35" s="7"/>
      <c r="I35" s="102">
        <f>EXP(lncombin($B35,$C35)+LN(I$6)*$C35+LN(1-I$6)*($B35-$C35)+lncombin($D35,$E35)+LN(I$7)*$E35+LN(1-I$7)*($D35-$E35))</f>
        <v>0</v>
      </c>
      <c r="J35" s="102">
        <f>EXP(lncombin($B35,$C35)+LN(J$6)*$C35+LN(1-J$6)*($B35-$C35)+lncombin($D35,$E35)+LN(J$7)*$E35+LN(1-J$7)*($D35-$E35))</f>
        <v>0</v>
      </c>
      <c r="K35" s="102">
        <f>EXP(lncombin($B35,$C35)+LN(K$6)*$C35+LN(1-K$6)*($B35-$C35)+lncombin($D35,$E35)+LN(K$7)*$E35+LN(1-K$7)*($D35-$E35))</f>
        <v>0</v>
      </c>
      <c r="L35" s="102">
        <f>EXP(lncombin($B35,$C35)+LN(L$6)*$C35+LN(1-L$6)*($B35-$C35)+lncombin($D35,$E35)+LN(L$7)*$E35+LN(1-L$7)*($D35-$E35))</f>
        <v>0</v>
      </c>
      <c r="M35" s="102">
        <f>EXP(lncombin($B35,$C35)+LN(M$6)*$C35+LN(1-M$6)*($B35-$C35)+lncombin($D35,$E35)+LN(M$7)*$E35+LN(1-M$7)*($D35-$E35))</f>
        <v>2.5233369614241933E-287</v>
      </c>
      <c r="N35" s="102">
        <f>EXP(lncombin($B35,$C35)+LN(N$6)*$C35+LN(1-N$6)*($B35-$C35)+lncombin($D35,$E35)+LN(N$7)*$E35+LN(1-N$7)*($D35-$E35))</f>
        <v>1.0115165172595732E-245</v>
      </c>
      <c r="O35" s="102">
        <f>EXP(lncombin($B35,$C35)+LN(O$6)*$C35+LN(1-O$6)*($B35-$C35)+lncombin($D35,$E35)+LN(O$7)*$E35+LN(1-O$7)*($D35-$E35))</f>
        <v>4.1978013989199649E-208</v>
      </c>
      <c r="P35" s="102">
        <f>EXP(lncombin($B35,$C35)+LN(P$6)*$C35+LN(1-P$6)*($B35-$C35)+lncombin($D35,$E35)+LN(P$7)*$E35+LN(1-P$7)*($D35-$E35))</f>
        <v>7.8404564971365982E-174</v>
      </c>
      <c r="Q35" s="102">
        <f>EXP(lncombin($B35,$C35)+LN(Q$6)*$C35+LN(1-Q$6)*($B35-$C35)+lncombin($D35,$E35)+LN(Q$7)*$E35+LN(1-Q$7)*($D35-$E35))</f>
        <v>1.7913197093852933E-142</v>
      </c>
      <c r="R35" s="102">
        <f>EXP(lncombin($B35,$C35)+LN(R$6)*$C35+LN(1-R$6)*($B35-$C35)+lncombin($D35,$E35)+LN(R$7)*$E35+LN(1-R$7)*($D35-$E35))</f>
        <v>9.6496415508970582E-114</v>
      </c>
      <c r="S35" s="102">
        <f>EXP(lncombin($B35,$C35)+LN(S$6)*$C35+LN(1-S$6)*($B35-$C35)+lncombin($D35,$E35)+LN(S$7)*$E35+LN(1-S$7)*($D35-$E35))</f>
        <v>1.7151888366593432E-87</v>
      </c>
      <c r="T35" s="102">
        <f>EXP(lncombin($B35,$C35)+LN(T$6)*$C35+LN(1-T$6)*($B35-$C35)+lncombin($D35,$E35)+LN(T$7)*$E35+LN(1-T$7)*($D35-$E35))</f>
        <v>9.6317069503892914E-64</v>
      </c>
      <c r="U35" s="102">
        <f>EXP(lncombin($B35,$C35)+LN(U$6)*$C35+LN(1-U$6)*($B35-$C35)+lncombin($D35,$E35)+LN(U$7)*$E35+LN(1-U$7)*($D35-$E35))</f>
        <v>9.7376868932537054E-43</v>
      </c>
      <c r="V35" s="102">
        <f>EXP(lncombin($B35,$C35)+LN(V$6)*$C35+LN(1-V$6)*($B35-$C35)+lncombin($D35,$E35)+LN(V$7)*$E35+LN(1-V$7)*($D35-$E35))</f>
        <v>4.8476797262263069E-25</v>
      </c>
      <c r="W35" s="102">
        <f>EXP(lncombin($B35,$C35)+LN(W$6)*$C35+LN(1-W$6)*($B35-$C35)+lncombin($D35,$E35)+LN(W$7)*$E35+LN(1-W$7)*($D35-$E35))</f>
        <v>1.187377447935672E-11</v>
      </c>
      <c r="X35" s="102">
        <f>EXP(lncombin($B35,$C35)+LN(X$6)*$C35+LN(1-X$6)*($B35-$C35)+lncombin($D35,$E35)+LN(X$7)*$E35+LN(1-X$7)*($D35-$E35))</f>
        <v>3.9007067782312495E-4</v>
      </c>
      <c r="Y35" s="102">
        <f>EXP(lncombin($B35,$C35)+LN(Y$6)*$C35+LN(1-Y$6)*($B35-$C35)+lncombin($D35,$E35)+LN(Y$7)*$E35+LN(1-Y$7)*($D35-$E35))</f>
        <v>9.8954196751207152E-5</v>
      </c>
      <c r="Z35" s="102">
        <f>EXP(lncombin($B35,$C35)+LN(Z$6)*$C35+LN(1-Z$6)*($B35-$C35)+lncombin($D35,$E35)+LN(Z$7)*$E35+LN(1-Z$7)*($D35-$E35))</f>
        <v>2.0005253103279894E-16</v>
      </c>
      <c r="AA35" s="102">
        <f>EXP(lncombin($B35,$C35)+LN(AA$6)*$C35+LN(1-AA$6)*($B35-$C35)+lncombin($D35,$E35)+LN(AA$7)*$E35+LN(1-AA$7)*($D35-$E35))</f>
        <v>5.7356849732099907E-43</v>
      </c>
      <c r="AB35" s="102">
        <f>EXP(lncombin($B35,$C35)+LN(AB$6)*$C35+LN(1-AB$6)*($B35-$C35)+lncombin($D35,$E35)+LN(AB$7)*$E35+LN(1-AB$7)*($D35-$E35))</f>
        <v>7.7499294546452419E-89</v>
      </c>
      <c r="AC35" s="102">
        <f>EXP(lncombin($B35,$C35)+LN(AC$6)*$C35+LN(1-AC$6)*($B35-$C35)+lncombin($D35,$E35)+LN(AC$7)*$E35+LN(1-AC$7)*($D35-$E35))</f>
        <v>3.5478521081662054E-159</v>
      </c>
      <c r="AD35" s="102">
        <f>EXP(lncombin($B35,$C35)+LN(AD$6)*$C35+LN(1-AD$6)*($B35-$C35)+lncombin($D35,$E35)+LN(AD$7)*$E35+LN(1-AD$7)*($D35-$E35))</f>
        <v>9.7704164255406795E-260</v>
      </c>
      <c r="AE35" s="102">
        <f>EXP(lncombin($B35,$C35)+LN(AE$6)*$C35+LN(1-AE$6)*($B35-$C35)+lncombin($D35,$E35)+LN(AE$7)*$E35+LN(1-AE$7)*($D35-$E35))</f>
        <v>0</v>
      </c>
      <c r="AF35" s="102">
        <f>EXP(lncombin($B35,$C35)+LN(AF$6)*$C35+LN(1-AF$6)*($B35-$C35)+lncombin($D35,$E35)+LN(AF$7)*$E35+LN(1-AF$7)*($D35-$E35))</f>
        <v>0</v>
      </c>
      <c r="AG35" s="102">
        <f>EXP(lncombin($B35,$C35)+LN(AG$6)*$C35+LN(1-AG$6)*($B35-$C35)+lncombin($D35,$E35)+LN(AG$7)*$E35+LN(1-AG$7)*($D35-$E35))</f>
        <v>0</v>
      </c>
      <c r="AH35" s="102">
        <f>EXP(lncombin($B35,$C35)+LN(AH$6)*$C35+LN(1-AH$6)*($B35-$C35)+lncombin($D35,$E35)+LN(AH$7)*$E35+LN(1-AH$7)*($D35-$E35))</f>
        <v>0</v>
      </c>
      <c r="AI35" s="102">
        <f>EXP(lncombin($B35,$C35)+LN(AI$6)*$C35+LN(1-AI$6)*($B35-$C35)+lncombin($D35,$E35)+LN(AI$7)*$E35+LN(1-AI$7)*($D35-$E35))</f>
        <v>0</v>
      </c>
      <c r="AJ35" s="102">
        <f>EXP(lncombin($B35,$C35)+LN(AJ$6)*$C35+LN(1-AJ$6)*($B35-$C35)+lncombin($D35,$E35)+LN(AJ$7)*$E35+LN(1-AJ$7)*($D35-$E35))</f>
        <v>0</v>
      </c>
      <c r="AK35" s="102">
        <f>EXP(lncombin($B35,$C35)+LN(AK$6)*$C35+LN(1-AK$6)*($B35-$C35)+lncombin($D35,$E35)+LN(AK$7)*$E35+LN(1-AK$7)*($D35-$E35))</f>
        <v>0</v>
      </c>
      <c r="AL35" s="102">
        <f>EXP(lncombin($B35,$C35)+LN(AL$6)*$C35+LN(1-AL$6)*($B35-$C35)+lncombin($D35,$E35)+LN(AL$7)*$E35+LN(1-AL$7)*($D35-$E35))</f>
        <v>0</v>
      </c>
      <c r="AM35" s="102">
        <f>EXP(lncombin($B35,$C35)+LN(AM$6)*$C35+LN(1-AM$6)*($B35-$C35)+lncombin($D35,$E35)+LN(AM$7)*$E35+LN(1-AM$7)*($D35-$E35))</f>
        <v>0</v>
      </c>
      <c r="AN35" s="102">
        <f>EXP(lncombin($B35,$C35)+LN(AN$6)*$C35+LN(1-AN$6)*($B35-$C35)+lncombin($D35,$E35)+LN(AN$7)*$E35+LN(1-AN$7)*($D35-$E35))</f>
        <v>0</v>
      </c>
    </row>
    <row r="36" spans="1:40">
      <c r="A36">
        <v>2013</v>
      </c>
      <c r="B36">
        <v>3262</v>
      </c>
      <c r="C36">
        <v>0</v>
      </c>
      <c r="D36" s="3">
        <v>2776</v>
      </c>
      <c r="E36">
        <v>64</v>
      </c>
      <c r="F36" s="18"/>
      <c r="G36" s="18">
        <f t="shared" si="2"/>
        <v>-8.2092863267202816</v>
      </c>
      <c r="H36" s="7"/>
      <c r="I36" s="102">
        <f>EXP(lncombin($B36,$C36)+LN(I$6)*$C36+LN(1-I$6)*($B36-$C36)+lncombin($D36,$E36)+LN(I$7)*$E36+LN(1-I$7)*($D36-$E36))</f>
        <v>0</v>
      </c>
      <c r="J36" s="102">
        <f>EXP(lncombin($B36,$C36)+LN(J$6)*$C36+LN(1-J$6)*($B36-$C36)+lncombin($D36,$E36)+LN(J$7)*$E36+LN(1-J$7)*($D36-$E36))</f>
        <v>0</v>
      </c>
      <c r="K36" s="102">
        <f>EXP(lncombin($B36,$C36)+LN(K$6)*$C36+LN(1-K$6)*($B36-$C36)+lncombin($D36,$E36)+LN(K$7)*$E36+LN(1-K$7)*($D36-$E36))</f>
        <v>0</v>
      </c>
      <c r="L36" s="102">
        <f>EXP(lncombin($B36,$C36)+LN(L$6)*$C36+LN(1-L$6)*($B36-$C36)+lncombin($D36,$E36)+LN(L$7)*$E36+LN(1-L$7)*($D36-$E36))</f>
        <v>0</v>
      </c>
      <c r="M36" s="102">
        <f>EXP(lncombin($B36,$C36)+LN(M$6)*$C36+LN(1-M$6)*($B36-$C36)+lncombin($D36,$E36)+LN(M$7)*$E36+LN(1-M$7)*($D36-$E36))</f>
        <v>1.9618687593783902E-275</v>
      </c>
      <c r="N36" s="102">
        <f>EXP(lncombin($B36,$C36)+LN(N$6)*$C36+LN(1-N$6)*($B36-$C36)+lncombin($D36,$E36)+LN(N$7)*$E36+LN(1-N$7)*($D36-$E36))</f>
        <v>4.3006028633242534E-235</v>
      </c>
      <c r="O36" s="102">
        <f>EXP(lncombin($B36,$C36)+LN(O$6)*$C36+LN(1-O$6)*($B36-$C36)+lncombin($D36,$E36)+LN(O$7)*$E36+LN(1-O$7)*($D36-$E36))</f>
        <v>1.2866997544434361E-198</v>
      </c>
      <c r="P36" s="102">
        <f>EXP(lncombin($B36,$C36)+LN(P$6)*$C36+LN(1-P$6)*($B36-$C36)+lncombin($D36,$E36)+LN(P$7)*$E36+LN(1-P$7)*($D36-$E36))</f>
        <v>2.1794229272845836E-165</v>
      </c>
      <c r="Q36" s="102">
        <f>EXP(lncombin($B36,$C36)+LN(Q$6)*$C36+LN(1-Q$6)*($B36-$C36)+lncombin($D36,$E36)+LN(Q$7)*$E36+LN(1-Q$7)*($D36-$E36))</f>
        <v>5.4770023412917995E-135</v>
      </c>
      <c r="R36" s="102">
        <f>EXP(lncombin($B36,$C36)+LN(R$6)*$C36+LN(1-R$6)*($B36-$C36)+lncombin($D36,$E36)+LN(R$7)*$E36+LN(1-R$7)*($D36-$E36))</f>
        <v>3.8038962455974317E-107</v>
      </c>
      <c r="S36" s="102">
        <f>EXP(lncombin($B36,$C36)+LN(S$6)*$C36+LN(1-S$6)*($B36-$C36)+lncombin($D36,$E36)+LN(S$7)*$E36+LN(1-S$7)*($D36-$E36))</f>
        <v>9.8078390461035861E-82</v>
      </c>
      <c r="T36" s="102">
        <f>EXP(lncombin($B36,$C36)+LN(T$6)*$C36+LN(1-T$6)*($B36-$C36)+lncombin($D36,$E36)+LN(T$7)*$E36+LN(1-T$7)*($D36-$E36))</f>
        <v>8.4665440648454413E-59</v>
      </c>
      <c r="U36" s="102">
        <f>EXP(lncombin($B36,$C36)+LN(U$6)*$C36+LN(1-U$6)*($B36-$C36)+lncombin($D36,$E36)+LN(U$7)*$E36+LN(1-U$7)*($D36-$E36))</f>
        <v>1.2670238876668345E-38</v>
      </c>
      <c r="V36" s="102">
        <f>EXP(lncombin($B36,$C36)+LN(V$6)*$C36+LN(1-V$6)*($B36-$C36)+lncombin($D36,$E36)+LN(V$7)*$E36+LN(1-V$7)*($D36-$E36))</f>
        <v>7.7048066160421317E-22</v>
      </c>
      <c r="W36" s="102">
        <f>EXP(lncombin($B36,$C36)+LN(W$6)*$C36+LN(1-W$6)*($B36-$C36)+lncombin($D36,$E36)+LN(W$7)*$E36+LN(1-W$7)*($D36-$E36))</f>
        <v>1.4968763045430368E-9</v>
      </c>
      <c r="X36" s="102">
        <f>EXP(lncombin($B36,$C36)+LN(X$6)*$C36+LN(1-X$6)*($B36-$C36)+lncombin($D36,$E36)+LN(X$7)*$E36+LN(1-X$7)*($D36-$E36))</f>
        <v>1.779017035149075E-3</v>
      </c>
      <c r="Y36" s="102">
        <f>EXP(lncombin($B36,$C36)+LN(Y$6)*$C36+LN(1-Y$6)*($B36-$C36)+lncombin($D36,$E36)+LN(Y$7)*$E36+LN(1-Y$7)*($D36-$E36))</f>
        <v>4.5568529578242349E-6</v>
      </c>
      <c r="Z36" s="102">
        <f>EXP(lncombin($B36,$C36)+LN(Z$6)*$C36+LN(1-Z$6)*($B36-$C36)+lncombin($D36,$E36)+LN(Z$7)*$E36+LN(1-Z$7)*($D36-$E36))</f>
        <v>1.3621386643425985E-20</v>
      </c>
      <c r="AA36" s="102">
        <f>EXP(lncombin($B36,$C36)+LN(AA$6)*$C36+LN(1-AA$6)*($B36-$C36)+lncombin($D36,$E36)+LN(AA$7)*$E36+LN(1-AA$7)*($D36-$E36))</f>
        <v>3.7883143319490194E-51</v>
      </c>
      <c r="AB36" s="102">
        <f>EXP(lncombin($B36,$C36)+LN(AB$6)*$C36+LN(1-AB$6)*($B36-$C36)+lncombin($D36,$E36)+LN(AB$7)*$E36+LN(1-AB$7)*($D36-$E36))</f>
        <v>1.2544670085211052E-102</v>
      </c>
      <c r="AC36" s="102">
        <f>EXP(lncombin($B36,$C36)+LN(AC$6)*$C36+LN(1-AC$6)*($B36-$C36)+lncombin($D36,$E36)+LN(AC$7)*$E36+LN(1-AC$7)*($D36-$E36))</f>
        <v>1.1924200702737174E-180</v>
      </c>
      <c r="AD36" s="102">
        <f>EXP(lncombin($B36,$C36)+LN(AD$6)*$C36+LN(1-AD$6)*($B36-$C36)+lncombin($D36,$E36)+LN(AD$7)*$E36+LN(1-AD$7)*($D36-$E36))</f>
        <v>1.7064472676883086E-291</v>
      </c>
      <c r="AE36" s="102">
        <f>EXP(lncombin($B36,$C36)+LN(AE$6)*$C36+LN(1-AE$6)*($B36-$C36)+lncombin($D36,$E36)+LN(AE$7)*$E36+LN(1-AE$7)*($D36-$E36))</f>
        <v>0</v>
      </c>
      <c r="AF36" s="102">
        <f>EXP(lncombin($B36,$C36)+LN(AF$6)*$C36+LN(1-AF$6)*($B36-$C36)+lncombin($D36,$E36)+LN(AF$7)*$E36+LN(1-AF$7)*($D36-$E36))</f>
        <v>0</v>
      </c>
      <c r="AG36" s="102">
        <f>EXP(lncombin($B36,$C36)+LN(AG$6)*$C36+LN(1-AG$6)*($B36-$C36)+lncombin($D36,$E36)+LN(AG$7)*$E36+LN(1-AG$7)*($D36-$E36))</f>
        <v>0</v>
      </c>
      <c r="AH36" s="102">
        <f>EXP(lncombin($B36,$C36)+LN(AH$6)*$C36+LN(1-AH$6)*($B36-$C36)+lncombin($D36,$E36)+LN(AH$7)*$E36+LN(1-AH$7)*($D36-$E36))</f>
        <v>0</v>
      </c>
      <c r="AI36" s="102">
        <f>EXP(lncombin($B36,$C36)+LN(AI$6)*$C36+LN(1-AI$6)*($B36-$C36)+lncombin($D36,$E36)+LN(AI$7)*$E36+LN(1-AI$7)*($D36-$E36))</f>
        <v>0</v>
      </c>
      <c r="AJ36" s="102">
        <f>EXP(lncombin($B36,$C36)+LN(AJ$6)*$C36+LN(1-AJ$6)*($B36-$C36)+lncombin($D36,$E36)+LN(AJ$7)*$E36+LN(1-AJ$7)*($D36-$E36))</f>
        <v>0</v>
      </c>
      <c r="AK36" s="102">
        <f>EXP(lncombin($B36,$C36)+LN(AK$6)*$C36+LN(1-AK$6)*($B36-$C36)+lncombin($D36,$E36)+LN(AK$7)*$E36+LN(1-AK$7)*($D36-$E36))</f>
        <v>0</v>
      </c>
      <c r="AL36" s="102">
        <f>EXP(lncombin($B36,$C36)+LN(AL$6)*$C36+LN(1-AL$6)*($B36-$C36)+lncombin($D36,$E36)+LN(AL$7)*$E36+LN(1-AL$7)*($D36-$E36))</f>
        <v>0</v>
      </c>
      <c r="AM36" s="102">
        <f>EXP(lncombin($B36,$C36)+LN(AM$6)*$C36+LN(1-AM$6)*($B36-$C36)+lncombin($D36,$E36)+LN(AM$7)*$E36+LN(1-AM$7)*($D36-$E36))</f>
        <v>0</v>
      </c>
      <c r="AN36" s="102">
        <f>EXP(lncombin($B36,$C36)+LN(AN$6)*$C36+LN(1-AN$6)*($B36-$C36)+lncombin($D36,$E36)+LN(AN$7)*$E36+LN(1-AN$7)*($D36-$E36))</f>
        <v>0</v>
      </c>
    </row>
    <row r="37" spans="1:40">
      <c r="A37">
        <v>2014</v>
      </c>
      <c r="B37">
        <v>3358</v>
      </c>
      <c r="C37">
        <v>0</v>
      </c>
      <c r="D37" s="3">
        <v>3124</v>
      </c>
      <c r="E37">
        <v>45</v>
      </c>
      <c r="F37" s="18"/>
      <c r="G37" s="18">
        <f t="shared" si="2"/>
        <v>-8.6408728848913814</v>
      </c>
      <c r="H37" s="7"/>
      <c r="I37" s="102">
        <f>EXP(lncombin($B37,$C37)+LN(I$6)*$C37+LN(1-I$6)*($B37-$C37)+lncombin($D37,$E37)+LN(I$7)*$E37+LN(1-I$7)*($D37-$E37))</f>
        <v>0</v>
      </c>
      <c r="J37" s="102">
        <f>EXP(lncombin($B37,$C37)+LN(J$6)*$C37+LN(1-J$6)*($B37-$C37)+lncombin($D37,$E37)+LN(J$7)*$E37+LN(1-J$7)*($D37-$E37))</f>
        <v>1.0448786949158918E-295</v>
      </c>
      <c r="K37" s="102">
        <f>EXP(lncombin($B37,$C37)+LN(K$6)*$C37+LN(1-K$6)*($B37-$C37)+lncombin($D37,$E37)+LN(K$7)*$E37+LN(1-K$7)*($D37-$E37))</f>
        <v>6.5429138510084864E-253</v>
      </c>
      <c r="L37" s="102">
        <f>EXP(lncombin($B37,$C37)+LN(L$6)*$C37+LN(1-L$6)*($B37-$C37)+lncombin($D37,$E37)+LN(L$7)*$E37+LN(1-L$7)*($D37-$E37))</f>
        <v>1.0696396993607156E-216</v>
      </c>
      <c r="M37" s="102">
        <f>EXP(lncombin($B37,$C37)+LN(M$6)*$C37+LN(1-M$6)*($B37-$C37)+lncombin($D37,$E37)+LN(M$7)*$E37+LN(1-M$7)*($D37-$E37))</f>
        <v>5.8012565074999972E-185</v>
      </c>
      <c r="N37" s="102">
        <f>EXP(lncombin($B37,$C37)+LN(N$6)*$C37+LN(1-N$6)*($B37-$C37)+lncombin($D37,$E37)+LN(N$7)*$E37+LN(1-N$7)*($D37-$E37))</f>
        <v>1.3041796377298099E-156</v>
      </c>
      <c r="O37" s="102">
        <f>EXP(lncombin($B37,$C37)+LN(O$6)*$C37+LN(1-O$6)*($B37-$C37)+lncombin($D37,$E37)+LN(O$7)*$E37+LN(1-O$7)*($D37-$E37))</f>
        <v>5.5668313302032164E-131</v>
      </c>
      <c r="P37" s="102">
        <f>EXP(lncombin($B37,$C37)+LN(P$6)*$C37+LN(1-P$6)*($B37-$C37)+lncombin($D37,$E37)+LN(P$7)*$E37+LN(1-P$7)*($D37-$E37))</f>
        <v>1.2147087916893384E-107</v>
      </c>
      <c r="Q37" s="102">
        <f>EXP(lncombin($B37,$C37)+LN(Q$6)*$C37+LN(1-Q$6)*($B37-$C37)+lncombin($D37,$E37)+LN(Q$7)*$E37+LN(1-Q$7)*($D37-$E37))</f>
        <v>2.6036859313986483E-86</v>
      </c>
      <c r="R37" s="102">
        <f>EXP(lncombin($B37,$C37)+LN(R$6)*$C37+LN(1-R$6)*($B37-$C37)+lncombin($D37,$E37)+LN(R$7)*$E37+LN(1-R$7)*($D37-$E37))</f>
        <v>8.0273488808659807E-67</v>
      </c>
      <c r="S37" s="102">
        <f>EXP(lncombin($B37,$C37)+LN(S$6)*$C37+LN(1-S$6)*($B37-$C37)+lncombin($D37,$E37)+LN(S$7)*$E37+LN(1-S$7)*($D37-$E37))</f>
        <v>3.8856250813536519E-49</v>
      </c>
      <c r="T37" s="102">
        <f>EXP(lncombin($B37,$C37)+LN(T$6)*$C37+LN(1-T$6)*($B37-$C37)+lncombin($D37,$E37)+LN(T$7)*$E37+LN(1-T$7)*($D37-$E37))</f>
        <v>2.1644711867005895E-33</v>
      </c>
      <c r="U37" s="102">
        <f>EXP(lncombin($B37,$C37)+LN(U$6)*$C37+LN(1-U$6)*($B37-$C37)+lncombin($D37,$E37)+LN(U$7)*$E37+LN(1-U$7)*($D37-$E37))</f>
        <v>5.6342754404398892E-20</v>
      </c>
      <c r="V37" s="102">
        <f>EXP(lncombin($B37,$C37)+LN(V$6)*$C37+LN(1-V$6)*($B37-$C37)+lncombin($D37,$E37)+LN(V$7)*$E37+LN(1-V$7)*($D37-$E37))</f>
        <v>1.1654598785293797E-9</v>
      </c>
      <c r="W37" s="102">
        <f>EXP(lncombin($B37,$C37)+LN(W$6)*$C37+LN(1-W$6)*($B37-$C37)+lncombin($D37,$E37)+LN(W$7)*$E37+LN(1-W$7)*($D37-$E37))</f>
        <v>9.6400325581441051E-4</v>
      </c>
      <c r="X37" s="102">
        <f>EXP(lncombin($B37,$C37)+LN(X$6)*$C37+LN(1-X$6)*($B37-$C37)+lncombin($D37,$E37)+LN(X$7)*$E37+LN(1-X$7)*($D37-$E37))</f>
        <v>3.2847792788113795E-4</v>
      </c>
      <c r="Y37" s="102">
        <f>EXP(lncombin($B37,$C37)+LN(Y$6)*$C37+LN(1-Y$6)*($B37-$C37)+lncombin($D37,$E37)+LN(Y$7)*$E37+LN(1-Y$7)*($D37-$E37))</f>
        <v>7.0470838972807594E-14</v>
      </c>
      <c r="Z37" s="102">
        <f>EXP(lncombin($B37,$C37)+LN(Z$6)*$C37+LN(1-Z$6)*($B37-$C37)+lncombin($D37,$E37)+LN(Z$7)*$E37+LN(1-Z$7)*($D37-$E37))</f>
        <v>1.7544854100762608E-36</v>
      </c>
      <c r="AA37" s="102">
        <f>EXP(lncombin($B37,$C37)+LN(AA$6)*$C37+LN(1-AA$6)*($B37-$C37)+lncombin($D37,$E37)+LN(AA$7)*$E37+LN(1-AA$7)*($D37-$E37))</f>
        <v>1.0705861883622328E-76</v>
      </c>
      <c r="AB37" s="102">
        <f>EXP(lncombin($B37,$C37)+LN(AB$6)*$C37+LN(1-AB$6)*($B37-$C37)+lncombin($D37,$E37)+LN(AB$7)*$E37+LN(1-AB$7)*($D37-$E37))</f>
        <v>4.2651559345934192E-140</v>
      </c>
      <c r="AC37" s="102">
        <f>EXP(lncombin($B37,$C37)+LN(AC$6)*$C37+LN(1-AC$6)*($B37-$C37)+lncombin($D37,$E37)+LN(AC$7)*$E37+LN(1-AC$7)*($D37-$E37))</f>
        <v>4.4617534883760059E-233</v>
      </c>
      <c r="AD37" s="102">
        <f>EXP(lncombin($B37,$C37)+LN(AD$6)*$C37+LN(1-AD$6)*($B37-$C37)+lncombin($D37,$E37)+LN(AD$7)*$E37+LN(1-AD$7)*($D37-$E37))</f>
        <v>0</v>
      </c>
      <c r="AE37" s="102">
        <f>EXP(lncombin($B37,$C37)+LN(AE$6)*$C37+LN(1-AE$6)*($B37-$C37)+lncombin($D37,$E37)+LN(AE$7)*$E37+LN(1-AE$7)*($D37-$E37))</f>
        <v>0</v>
      </c>
      <c r="AF37" s="102">
        <f>EXP(lncombin($B37,$C37)+LN(AF$6)*$C37+LN(1-AF$6)*($B37-$C37)+lncombin($D37,$E37)+LN(AF$7)*$E37+LN(1-AF$7)*($D37-$E37))</f>
        <v>0</v>
      </c>
      <c r="AG37" s="102">
        <f>EXP(lncombin($B37,$C37)+LN(AG$6)*$C37+LN(1-AG$6)*($B37-$C37)+lncombin($D37,$E37)+LN(AG$7)*$E37+LN(1-AG$7)*($D37-$E37))</f>
        <v>0</v>
      </c>
      <c r="AH37" s="102">
        <f>EXP(lncombin($B37,$C37)+LN(AH$6)*$C37+LN(1-AH$6)*($B37-$C37)+lncombin($D37,$E37)+LN(AH$7)*$E37+LN(1-AH$7)*($D37-$E37))</f>
        <v>0</v>
      </c>
      <c r="AI37" s="102">
        <f>EXP(lncombin($B37,$C37)+LN(AI$6)*$C37+LN(1-AI$6)*($B37-$C37)+lncombin($D37,$E37)+LN(AI$7)*$E37+LN(1-AI$7)*($D37-$E37))</f>
        <v>0</v>
      </c>
      <c r="AJ37" s="102">
        <f>EXP(lncombin($B37,$C37)+LN(AJ$6)*$C37+LN(1-AJ$6)*($B37-$C37)+lncombin($D37,$E37)+LN(AJ$7)*$E37+LN(1-AJ$7)*($D37-$E37))</f>
        <v>0</v>
      </c>
      <c r="AK37" s="102">
        <f>EXP(lncombin($B37,$C37)+LN(AK$6)*$C37+LN(1-AK$6)*($B37-$C37)+lncombin($D37,$E37)+LN(AK$7)*$E37+LN(1-AK$7)*($D37-$E37))</f>
        <v>0</v>
      </c>
      <c r="AL37" s="102">
        <f>EXP(lncombin($B37,$C37)+LN(AL$6)*$C37+LN(1-AL$6)*($B37-$C37)+lncombin($D37,$E37)+LN(AL$7)*$E37+LN(1-AL$7)*($D37-$E37))</f>
        <v>0</v>
      </c>
      <c r="AM37" s="102">
        <f>EXP(lncombin($B37,$C37)+LN(AM$6)*$C37+LN(1-AM$6)*($B37-$C37)+lncombin($D37,$E37)+LN(AM$7)*$E37+LN(1-AM$7)*($D37-$E37))</f>
        <v>0</v>
      </c>
      <c r="AN37" s="102">
        <f>EXP(lncombin($B37,$C37)+LN(AN$6)*$C37+LN(1-AN$6)*($B37-$C37)+lncombin($D37,$E37)+LN(AN$7)*$E37+LN(1-AN$7)*($D37-$E37))</f>
        <v>0</v>
      </c>
    </row>
    <row r="38" spans="1:40">
      <c r="A38">
        <v>2015</v>
      </c>
      <c r="B38">
        <v>3513</v>
      </c>
      <c r="C38">
        <v>0</v>
      </c>
      <c r="D38" s="3">
        <v>3389</v>
      </c>
      <c r="E38">
        <v>94</v>
      </c>
      <c r="F38" s="18"/>
      <c r="G38" s="18">
        <f t="shared" si="2"/>
        <v>-10.765308966768512</v>
      </c>
      <c r="H38" s="7"/>
      <c r="I38" s="102">
        <f>EXP(lncombin($B38,$C38)+LN(I$6)*$C38+LN(1-I$6)*($B38-$C38)+lncombin($D38,$E38)+LN(I$7)*$E38+LN(1-I$7)*($D38-$E38))</f>
        <v>0</v>
      </c>
      <c r="J38" s="102">
        <f>EXP(lncombin($B38,$C38)+LN(J$6)*$C38+LN(1-J$6)*($B38-$C38)+lncombin($D38,$E38)+LN(J$7)*$E38+LN(1-J$7)*($D38-$E38))</f>
        <v>0</v>
      </c>
      <c r="K38" s="102">
        <f>EXP(lncombin($B38,$C38)+LN(K$6)*$C38+LN(1-K$6)*($B38-$C38)+lncombin($D38,$E38)+LN(K$7)*$E38+LN(1-K$7)*($D38-$E38))</f>
        <v>0</v>
      </c>
      <c r="L38" s="102">
        <f>EXP(lncombin($B38,$C38)+LN(L$6)*$C38+LN(1-L$6)*($B38-$C38)+lncombin($D38,$E38)+LN(L$7)*$E38+LN(1-L$7)*($D38-$E38))</f>
        <v>0</v>
      </c>
      <c r="M38" s="102">
        <f>EXP(lncombin($B38,$C38)+LN(M$6)*$C38+LN(1-M$6)*($B38-$C38)+lncombin($D38,$E38)+LN(M$7)*$E38+LN(1-M$7)*($D38-$E38))</f>
        <v>0</v>
      </c>
      <c r="N38" s="102">
        <f>EXP(lncombin($B38,$C38)+LN(N$6)*$C38+LN(1-N$6)*($B38-$C38)+lncombin($D38,$E38)+LN(N$7)*$E38+LN(1-N$7)*($D38-$E38))</f>
        <v>0</v>
      </c>
      <c r="O38" s="102">
        <f>EXP(lncombin($B38,$C38)+LN(O$6)*$C38+LN(1-O$6)*($B38-$C38)+lncombin($D38,$E38)+LN(O$7)*$E38+LN(1-O$7)*($D38-$E38))</f>
        <v>2.0980725894268389E-298</v>
      </c>
      <c r="P38" s="102">
        <f>EXP(lncombin($B38,$C38)+LN(P$6)*$C38+LN(1-P$6)*($B38-$C38)+lncombin($D38,$E38)+LN(P$7)*$E38+LN(1-P$7)*($D38-$E38))</f>
        <v>1.4179116181548228E-249</v>
      </c>
      <c r="Q38" s="102">
        <f>EXP(lncombin($B38,$C38)+LN(Q$6)*$C38+LN(1-Q$6)*($B38-$C38)+lncombin($D38,$E38)+LN(Q$7)*$E38+LN(1-Q$7)*($D38-$E38))</f>
        <v>6.912527489277552E-205</v>
      </c>
      <c r="R38" s="102">
        <f>EXP(lncombin($B38,$C38)+LN(R$6)*$C38+LN(1-R$6)*($B38-$C38)+lncombin($D38,$E38)+LN(R$7)*$E38+LN(1-R$7)*($D38-$E38))</f>
        <v>6.2676824406323382E-164</v>
      </c>
      <c r="S38" s="102">
        <f>EXP(lncombin($B38,$C38)+LN(S$6)*$C38+LN(1-S$6)*($B38-$C38)+lncombin($D38,$E38)+LN(S$7)*$E38+LN(1-S$7)*($D38-$E38))</f>
        <v>1.750625765106758E-126</v>
      </c>
      <c r="T38" s="102">
        <f>EXP(lncombin($B38,$C38)+LN(T$6)*$C38+LN(1-T$6)*($B38-$C38)+lncombin($D38,$E38)+LN(T$7)*$E38+LN(1-T$7)*($D38-$E38))</f>
        <v>1.4894191097008679E-92</v>
      </c>
      <c r="U38" s="102">
        <f>EXP(lncombin($B38,$C38)+LN(U$6)*$C38+LN(1-U$6)*($B38-$C38)+lncombin($D38,$E38)+LN(U$7)*$E38+LN(1-U$7)*($D38-$E38))</f>
        <v>1.9008563311739791E-62</v>
      </c>
      <c r="V38" s="102">
        <f>EXP(lncombin($B38,$C38)+LN(V$6)*$C38+LN(1-V$6)*($B38-$C38)+lncombin($D38,$E38)+LN(V$7)*$E38+LN(1-V$7)*($D38-$E38))</f>
        <v>6.7255181023874645E-37</v>
      </c>
      <c r="W38" s="102">
        <f>EXP(lncombin($B38,$C38)+LN(W$6)*$C38+LN(1-W$6)*($B38-$C38)+lncombin($D38,$E38)+LN(W$7)*$E38+LN(1-W$7)*($D38-$E38))</f>
        <v>3.1917454451884404E-17</v>
      </c>
      <c r="X38" s="102">
        <f>EXP(lncombin($B38,$C38)+LN(X$6)*$C38+LN(1-X$6)*($B38-$C38)+lncombin($D38,$E38)+LN(X$7)*$E38+LN(1-X$7)*($D38-$E38))</f>
        <v>1.7492798149577546E-5</v>
      </c>
      <c r="Y38" s="102">
        <f>EXP(lncombin($B38,$C38)+LN(Y$6)*$C38+LN(1-Y$6)*($B38-$C38)+lncombin($D38,$E38)+LN(Y$7)*$E38+LN(1-Y$7)*($D38-$E38))</f>
        <v>1.2093550366015996E-4</v>
      </c>
      <c r="Z38" s="102">
        <f>EXP(lncombin($B38,$C38)+LN(Z$6)*$C38+LN(1-Z$6)*($B38-$C38)+lncombin($D38,$E38)+LN(Z$7)*$E38+LN(1-Z$7)*($D38-$E38))</f>
        <v>1.1765375181066811E-18</v>
      </c>
      <c r="AA38" s="102">
        <f>EXP(lncombin($B38,$C38)+LN(AA$6)*$C38+LN(1-AA$6)*($B38-$C38)+lncombin($D38,$E38)+LN(AA$7)*$E38+LN(1-AA$7)*($D38-$E38))</f>
        <v>1.7444200787504941E-52</v>
      </c>
      <c r="AB38" s="102">
        <f>EXP(lncombin($B38,$C38)+LN(AB$6)*$C38+LN(1-AB$6)*($B38-$C38)+lncombin($D38,$E38)+LN(AB$7)*$E38+LN(1-AB$7)*($D38-$E38))</f>
        <v>4.6089546230681511E-112</v>
      </c>
      <c r="AC38" s="102">
        <f>EXP(lncombin($B38,$C38)+LN(AC$6)*$C38+LN(1-AC$6)*($B38-$C38)+lncombin($D38,$E38)+LN(AC$7)*$E38+LN(1-AC$7)*($D38-$E38))</f>
        <v>3.3316807809815299E-204</v>
      </c>
      <c r="AD38" s="102">
        <f>EXP(lncombin($B38,$C38)+LN(AD$6)*$C38+LN(1-AD$6)*($B38-$C38)+lncombin($D38,$E38)+LN(AD$7)*$E38+LN(1-AD$7)*($D38-$E38))</f>
        <v>0</v>
      </c>
      <c r="AE38" s="102">
        <f>EXP(lncombin($B38,$C38)+LN(AE$6)*$C38+LN(1-AE$6)*($B38-$C38)+lncombin($D38,$E38)+LN(AE$7)*$E38+LN(1-AE$7)*($D38-$E38))</f>
        <v>0</v>
      </c>
      <c r="AF38" s="102">
        <f>EXP(lncombin($B38,$C38)+LN(AF$6)*$C38+LN(1-AF$6)*($B38-$C38)+lncombin($D38,$E38)+LN(AF$7)*$E38+LN(1-AF$7)*($D38-$E38))</f>
        <v>0</v>
      </c>
      <c r="AG38" s="102">
        <f>EXP(lncombin($B38,$C38)+LN(AG$6)*$C38+LN(1-AG$6)*($B38-$C38)+lncombin($D38,$E38)+LN(AG$7)*$E38+LN(1-AG$7)*($D38-$E38))</f>
        <v>0</v>
      </c>
      <c r="AH38" s="102">
        <f>EXP(lncombin($B38,$C38)+LN(AH$6)*$C38+LN(1-AH$6)*($B38-$C38)+lncombin($D38,$E38)+LN(AH$7)*$E38+LN(1-AH$7)*($D38-$E38))</f>
        <v>0</v>
      </c>
      <c r="AI38" s="102">
        <f>EXP(lncombin($B38,$C38)+LN(AI$6)*$C38+LN(1-AI$6)*($B38-$C38)+lncombin($D38,$E38)+LN(AI$7)*$E38+LN(1-AI$7)*($D38-$E38))</f>
        <v>0</v>
      </c>
      <c r="AJ38" s="102">
        <f>EXP(lncombin($B38,$C38)+LN(AJ$6)*$C38+LN(1-AJ$6)*($B38-$C38)+lncombin($D38,$E38)+LN(AJ$7)*$E38+LN(1-AJ$7)*($D38-$E38))</f>
        <v>0</v>
      </c>
      <c r="AK38" s="102">
        <f>EXP(lncombin($B38,$C38)+LN(AK$6)*$C38+LN(1-AK$6)*($B38-$C38)+lncombin($D38,$E38)+LN(AK$7)*$E38+LN(1-AK$7)*($D38-$E38))</f>
        <v>0</v>
      </c>
      <c r="AL38" s="102">
        <f>EXP(lncombin($B38,$C38)+LN(AL$6)*$C38+LN(1-AL$6)*($B38-$C38)+lncombin($D38,$E38)+LN(AL$7)*$E38+LN(1-AL$7)*($D38-$E38))</f>
        <v>0</v>
      </c>
      <c r="AM38" s="102">
        <f>EXP(lncombin($B38,$C38)+LN(AM$6)*$C38+LN(1-AM$6)*($B38-$C38)+lncombin($D38,$E38)+LN(AM$7)*$E38+LN(1-AM$7)*($D38-$E38))</f>
        <v>0</v>
      </c>
      <c r="AN38" s="102">
        <f>EXP(lncombin($B38,$C38)+LN(AN$6)*$C38+LN(1-AN$6)*($B38-$C38)+lncombin($D38,$E38)+LN(AN$7)*$E38+LN(1-AN$7)*($D38-$E38))</f>
        <v>0</v>
      </c>
    </row>
    <row r="39" spans="1:40">
      <c r="A39">
        <v>2016</v>
      </c>
      <c r="B39">
        <v>3525</v>
      </c>
      <c r="C39">
        <v>1</v>
      </c>
      <c r="D39" s="3">
        <v>3382</v>
      </c>
      <c r="E39">
        <v>143</v>
      </c>
      <c r="F39" s="18"/>
      <c r="G39" s="18">
        <f t="shared" ref="G39:G41" si="3">LN(SUMPRODUCT(I39:AN39,I$3:AN$3))</f>
        <v>-10.138200959103816</v>
      </c>
      <c r="H39" s="7"/>
      <c r="I39" s="102">
        <f>EXP(lncombin($B39,$C39)+LN(I$6)*$C39+LN(1-I$6)*($B39-$C39)+lncombin($D39,$E39)+LN(I$7)*$E39+LN(1-I$7)*($D39-$E39))</f>
        <v>0</v>
      </c>
      <c r="J39" s="102">
        <f>EXP(lncombin($B39,$C39)+LN(J$6)*$C39+LN(1-J$6)*($B39-$C39)+lncombin($D39,$E39)+LN(J$7)*$E39+LN(1-J$7)*($D39-$E39))</f>
        <v>0</v>
      </c>
      <c r="K39" s="102">
        <f>EXP(lncombin($B39,$C39)+LN(K$6)*$C39+LN(1-K$6)*($B39-$C39)+lncombin($D39,$E39)+LN(K$7)*$E39+LN(1-K$7)*($D39-$E39))</f>
        <v>0</v>
      </c>
      <c r="L39" s="102">
        <f>EXP(lncombin($B39,$C39)+LN(L$6)*$C39+LN(1-L$6)*($B39-$C39)+lncombin($D39,$E39)+LN(L$7)*$E39+LN(1-L$7)*($D39-$E39))</f>
        <v>0</v>
      </c>
      <c r="M39" s="102">
        <f>EXP(lncombin($B39,$C39)+LN(M$6)*$C39+LN(1-M$6)*($B39-$C39)+lncombin($D39,$E39)+LN(M$7)*$E39+LN(1-M$7)*($D39-$E39))</f>
        <v>0</v>
      </c>
      <c r="N39" s="102">
        <f>EXP(lncombin($B39,$C39)+LN(N$6)*$C39+LN(1-N$6)*($B39-$C39)+lncombin($D39,$E39)+LN(N$7)*$E39+LN(1-N$7)*($D39-$E39))</f>
        <v>0</v>
      </c>
      <c r="O39" s="102">
        <f>EXP(lncombin($B39,$C39)+LN(O$6)*$C39+LN(1-O$6)*($B39-$C39)+lncombin($D39,$E39)+LN(O$7)*$E39+LN(1-O$7)*($D39-$E39))</f>
        <v>0</v>
      </c>
      <c r="P39" s="102">
        <f>EXP(lncombin($B39,$C39)+LN(P$6)*$C39+LN(1-P$6)*($B39-$C39)+lncombin($D39,$E39)+LN(P$7)*$E39+LN(1-P$7)*($D39-$E39))</f>
        <v>0</v>
      </c>
      <c r="Q39" s="102">
        <f>EXP(lncombin($B39,$C39)+LN(Q$6)*$C39+LN(1-Q$6)*($B39-$C39)+lncombin($D39,$E39)+LN(Q$7)*$E39+LN(1-Q$7)*($D39-$E39))</f>
        <v>0</v>
      </c>
      <c r="R39" s="102">
        <f>EXP(lncombin($B39,$C39)+LN(R$6)*$C39+LN(1-R$6)*($B39-$C39)+lncombin($D39,$E39)+LN(R$7)*$E39+LN(1-R$7)*($D39-$E39))</f>
        <v>1.2543932527790234E-274</v>
      </c>
      <c r="S39" s="102">
        <f>EXP(lncombin($B39,$C39)+LN(S$6)*$C39+LN(1-S$6)*($B39-$C39)+lncombin($D39,$E39)+LN(S$7)*$E39+LN(1-S$7)*($D39-$E39))</f>
        <v>2.649389416864901E-217</v>
      </c>
      <c r="T39" s="102">
        <f>EXP(lncombin($B39,$C39)+LN(T$6)*$C39+LN(1-T$6)*($B39-$C39)+lncombin($D39,$E39)+LN(T$7)*$E39+LN(1-T$7)*($D39-$E39))</f>
        <v>4.9881924173537603E-165</v>
      </c>
      <c r="U39" s="102">
        <f>EXP(lncombin($B39,$C39)+LN(U$6)*$C39+LN(1-U$6)*($B39-$C39)+lncombin($D39,$E39)+LN(U$7)*$E39+LN(1-U$7)*($D39-$E39))</f>
        <v>5.5385108272754024E-118</v>
      </c>
      <c r="V39" s="102">
        <f>EXP(lncombin($B39,$C39)+LN(V$6)*$C39+LN(1-V$6)*($B39-$C39)+lncombin($D39,$E39)+LN(V$7)*$E39+LN(1-V$7)*($D39-$E39))</f>
        <v>8.6758227787666638E-77</v>
      </c>
      <c r="W39" s="102">
        <f>EXP(lncombin($B39,$C39)+LN(W$6)*$C39+LN(1-W$6)*($B39-$C39)+lncombin($D39,$E39)+LN(W$7)*$E39+LN(1-W$7)*($D39-$E39))</f>
        <v>1.1789692179691808E-42</v>
      </c>
      <c r="X39" s="102">
        <f>EXP(lncombin($B39,$C39)+LN(X$6)*$C39+LN(1-X$6)*($B39-$C39)+lncombin($D39,$E39)+LN(X$7)*$E39+LN(1-X$7)*($D39-$E39))</f>
        <v>1.5169108448317377E-17</v>
      </c>
      <c r="Y39" s="102">
        <f>EXP(lncombin($B39,$C39)+LN(Y$6)*$C39+LN(1-Y$6)*($B39-$C39)+lncombin($D39,$E39)+LN(Y$7)*$E39+LN(1-Y$7)*($D39-$E39))</f>
        <v>2.5843319772735182E-4</v>
      </c>
      <c r="Z39" s="102">
        <f>EXP(lncombin($B39,$C39)+LN(Z$6)*$C39+LN(1-Z$6)*($B39-$C39)+lncombin($D39,$E39)+LN(Z$7)*$E39+LN(1-Z$7)*($D39-$E39))</f>
        <v>8.4871464597735457E-7</v>
      </c>
      <c r="AA39" s="102">
        <f>EXP(lncombin($B39,$C39)+LN(AA$6)*$C39+LN(1-AA$6)*($B39-$C39)+lncombin($D39,$E39)+LN(AA$7)*$E39+LN(1-AA$7)*($D39-$E39))</f>
        <v>7.7803651007604519E-30</v>
      </c>
      <c r="AB39" s="102">
        <f>EXP(lncombin($B39,$C39)+LN(AB$6)*$C39+LN(1-AB$6)*($B39-$C39)+lncombin($D39,$E39)+LN(AB$7)*$E39+LN(1-AB$7)*($D39-$E39))</f>
        <v>3.1959618153221693E-79</v>
      </c>
      <c r="AC39" s="102">
        <f>EXP(lncombin($B39,$C39)+LN(AC$6)*$C39+LN(1-AC$6)*($B39-$C39)+lncombin($D39,$E39)+LN(AC$7)*$E39+LN(1-AC$7)*($D39-$E39))</f>
        <v>1.2735052131030375E-161</v>
      </c>
      <c r="AD39" s="102">
        <f>EXP(lncombin($B39,$C39)+LN(AD$6)*$C39+LN(1-AD$6)*($B39-$C39)+lncombin($D39,$E39)+LN(AD$7)*$E39+LN(1-AD$7)*($D39-$E39))</f>
        <v>1.7154129977140473E-284</v>
      </c>
      <c r="AE39" s="102">
        <f>EXP(lncombin($B39,$C39)+LN(AE$6)*$C39+LN(1-AE$6)*($B39-$C39)+lncombin($D39,$E39)+LN(AE$7)*$E39+LN(1-AE$7)*($D39-$E39))</f>
        <v>0</v>
      </c>
      <c r="AF39" s="102">
        <f>EXP(lncombin($B39,$C39)+LN(AF$6)*$C39+LN(1-AF$6)*($B39-$C39)+lncombin($D39,$E39)+LN(AF$7)*$E39+LN(1-AF$7)*($D39-$E39))</f>
        <v>0</v>
      </c>
      <c r="AG39" s="102">
        <f>EXP(lncombin($B39,$C39)+LN(AG$6)*$C39+LN(1-AG$6)*($B39-$C39)+lncombin($D39,$E39)+LN(AG$7)*$E39+LN(1-AG$7)*($D39-$E39))</f>
        <v>0</v>
      </c>
      <c r="AH39" s="102">
        <f>EXP(lncombin($B39,$C39)+LN(AH$6)*$C39+LN(1-AH$6)*($B39-$C39)+lncombin($D39,$E39)+LN(AH$7)*$E39+LN(1-AH$7)*($D39-$E39))</f>
        <v>0</v>
      </c>
      <c r="AI39" s="102">
        <f>EXP(lncombin($B39,$C39)+LN(AI$6)*$C39+LN(1-AI$6)*($B39-$C39)+lncombin($D39,$E39)+LN(AI$7)*$E39+LN(1-AI$7)*($D39-$E39))</f>
        <v>0</v>
      </c>
      <c r="AJ39" s="102">
        <f>EXP(lncombin($B39,$C39)+LN(AJ$6)*$C39+LN(1-AJ$6)*($B39-$C39)+lncombin($D39,$E39)+LN(AJ$7)*$E39+LN(1-AJ$7)*($D39-$E39))</f>
        <v>0</v>
      </c>
      <c r="AK39" s="102">
        <f>EXP(lncombin($B39,$C39)+LN(AK$6)*$C39+LN(1-AK$6)*($B39-$C39)+lncombin($D39,$E39)+LN(AK$7)*$E39+LN(1-AK$7)*($D39-$E39))</f>
        <v>0</v>
      </c>
      <c r="AL39" s="102">
        <f>EXP(lncombin($B39,$C39)+LN(AL$6)*$C39+LN(1-AL$6)*($B39-$C39)+lncombin($D39,$E39)+LN(AL$7)*$E39+LN(1-AL$7)*($D39-$E39))</f>
        <v>0</v>
      </c>
      <c r="AM39" s="102">
        <f>EXP(lncombin($B39,$C39)+LN(AM$6)*$C39+LN(1-AM$6)*($B39-$C39)+lncombin($D39,$E39)+LN(AM$7)*$E39+LN(1-AM$7)*($D39-$E39))</f>
        <v>0</v>
      </c>
      <c r="AN39" s="102">
        <f>EXP(lncombin($B39,$C39)+LN(AN$6)*$C39+LN(1-AN$6)*($B39-$C39)+lncombin($D39,$E39)+LN(AN$7)*$E39+LN(1-AN$7)*($D39-$E39))</f>
        <v>0</v>
      </c>
    </row>
    <row r="40" spans="1:40">
      <c r="A40">
        <v>2017</v>
      </c>
      <c r="B40" s="3">
        <v>3510</v>
      </c>
      <c r="C40" s="3">
        <v>0</v>
      </c>
      <c r="D40" s="3">
        <v>3379</v>
      </c>
      <c r="E40">
        <v>83</v>
      </c>
      <c r="F40" s="18"/>
      <c r="G40" s="18">
        <f t="shared" si="3"/>
        <v>-9.6627054687265339</v>
      </c>
      <c r="H40" s="3"/>
      <c r="I40" s="102">
        <f>EXP(lncombin($B40,$C40)+LN(I$6)*$C40+LN(1-I$6)*($B40-$C40)+lncombin($D40,$E40)+LN(I$7)*$E40+LN(1-I$7)*($D40-$E40))</f>
        <v>0</v>
      </c>
      <c r="J40" s="102">
        <f>EXP(lncombin($B40,$C40)+LN(J$6)*$C40+LN(1-J$6)*($B40-$C40)+lncombin($D40,$E40)+LN(J$7)*$E40+LN(1-J$7)*($D40-$E40))</f>
        <v>0</v>
      </c>
      <c r="K40" s="102">
        <f>EXP(lncombin($B40,$C40)+LN(K$6)*$C40+LN(1-K$6)*($B40-$C40)+lncombin($D40,$E40)+LN(K$7)*$E40+LN(1-K$7)*($D40-$E40))</f>
        <v>0</v>
      </c>
      <c r="L40" s="102">
        <f>EXP(lncombin($B40,$C40)+LN(L$6)*$C40+LN(1-L$6)*($B40-$C40)+lncombin($D40,$E40)+LN(L$7)*$E40+LN(1-L$7)*($D40-$E40))</f>
        <v>0</v>
      </c>
      <c r="M40" s="102">
        <f>EXP(lncombin($B40,$C40)+LN(M$6)*$C40+LN(1-M$6)*($B40-$C40)+lncombin($D40,$E40)+LN(M$7)*$E40+LN(1-M$7)*($D40-$E40))</f>
        <v>0</v>
      </c>
      <c r="N40" s="102">
        <f>EXP(lncombin($B40,$C40)+LN(N$6)*$C40+LN(1-N$6)*($B40-$C40)+lncombin($D40,$E40)+LN(N$7)*$E40+LN(1-N$7)*($D40-$E40))</f>
        <v>1.3007666226883692E-306</v>
      </c>
      <c r="O40" s="102">
        <f>EXP(lncombin($B40,$C40)+LN(O$6)*$C40+LN(1-O$6)*($B40-$C40)+lncombin($D40,$E40)+LN(O$7)*$E40+LN(1-O$7)*($D40-$E40))</f>
        <v>2.6855661847541943E-259</v>
      </c>
      <c r="P40" s="102">
        <f>EXP(lncombin($B40,$C40)+LN(P$6)*$C40+LN(1-P$6)*($B40-$C40)+lncombin($D40,$E40)+LN(P$7)*$E40+LN(1-P$7)*($D40-$E40))</f>
        <v>3.4319753521843399E-216</v>
      </c>
      <c r="Q40" s="102">
        <f>EXP(lncombin($B40,$C40)+LN(Q$6)*$C40+LN(1-Q$6)*($B40-$C40)+lncombin($D40,$E40)+LN(Q$7)*$E40+LN(1-Q$7)*($D40-$E40))</f>
        <v>9.5177021857371307E-177</v>
      </c>
      <c r="R40" s="102">
        <f>EXP(lncombin($B40,$C40)+LN(R$6)*$C40+LN(1-R$6)*($B40-$C40)+lncombin($D40,$E40)+LN(R$7)*$E40+LN(1-R$7)*($D40-$E40))</f>
        <v>1.2976028825321566E-140</v>
      </c>
      <c r="S40" s="102">
        <f>EXP(lncombin($B40,$C40)+LN(S$6)*$C40+LN(1-S$6)*($B40-$C40)+lncombin($D40,$E40)+LN(S$7)*$E40+LN(1-S$7)*($D40-$E40))</f>
        <v>1.3051477928555075E-107</v>
      </c>
      <c r="T40" s="102">
        <f>EXP(lncombin($B40,$C40)+LN(T$6)*$C40+LN(1-T$6)*($B40-$C40)+lncombin($D40,$E40)+LN(T$7)*$E40+LN(1-T$7)*($D40-$E40))</f>
        <v>8.8646326642264665E-78</v>
      </c>
      <c r="U40" s="102">
        <f>EXP(lncombin($B40,$C40)+LN(U$6)*$C40+LN(1-U$6)*($B40-$C40)+lncombin($D40,$E40)+LN(U$7)*$E40+LN(1-U$7)*($D40-$E40))</f>
        <v>1.8822476932363781E-51</v>
      </c>
      <c r="V40" s="102">
        <f>EXP(lncombin($B40,$C40)+LN(V$6)*$C40+LN(1-V$6)*($B40-$C40)+lncombin($D40,$E40)+LN(V$7)*$E40+LN(1-V$7)*($D40-$E40))</f>
        <v>2.1955984233295576E-29</v>
      </c>
      <c r="W40" s="102">
        <f>EXP(lncombin($B40,$C40)+LN(W$6)*$C40+LN(1-W$6)*($B40-$C40)+lncombin($D40,$E40)+LN(W$7)*$E40+LN(1-W$7)*($D40-$E40))</f>
        <v>6.5280923710027455E-13</v>
      </c>
      <c r="X40" s="102">
        <f>EXP(lncombin($B40,$C40)+LN(X$6)*$C40+LN(1-X$6)*($B40-$C40)+lncombin($D40,$E40)+LN(X$7)*$E40+LN(1-X$7)*($D40-$E40))</f>
        <v>4.1113555081840491E-4</v>
      </c>
      <c r="Y40" s="102">
        <f>EXP(lncombin($B40,$C40)+LN(Y$6)*$C40+LN(1-Y$6)*($B40-$C40)+lncombin($D40,$E40)+LN(Y$7)*$E40+LN(1-Y$7)*($D40-$E40))</f>
        <v>5.8101551540529603E-6</v>
      </c>
      <c r="Z40" s="102">
        <f>EXP(lncombin($B40,$C40)+LN(Z$6)*$C40+LN(1-Z$6)*($B40-$C40)+lncombin($D40,$E40)+LN(Z$7)*$E40+LN(1-Z$7)*($D40-$E40))</f>
        <v>2.0005734845734417E-22</v>
      </c>
      <c r="AA40" s="102">
        <f>EXP(lncombin($B40,$C40)+LN(AA$6)*$C40+LN(1-AA$6)*($B40-$C40)+lncombin($D40,$E40)+LN(AA$7)*$E40+LN(1-AA$7)*($D40-$E40))</f>
        <v>1.773886290159129E-58</v>
      </c>
      <c r="AB40" s="102">
        <f>EXP(lncombin($B40,$C40)+LN(AB$6)*$C40+LN(1-AB$6)*($B40-$C40)+lncombin($D40,$E40)+LN(AB$7)*$E40+LN(1-AB$7)*($D40-$E40))</f>
        <v>4.6302530799633431E-120</v>
      </c>
      <c r="AC40" s="102">
        <f>EXP(lncombin($B40,$C40)+LN(AC$6)*$C40+LN(1-AC$6)*($B40-$C40)+lncombin($D40,$E40)+LN(AC$7)*$E40+LN(1-AC$7)*($D40-$E40))</f>
        <v>5.3462746020360217E-214</v>
      </c>
      <c r="AD40" s="102">
        <f>EXP(lncombin($B40,$C40)+LN(AD$6)*$C40+LN(1-AD$6)*($B40-$C40)+lncombin($D40,$E40)+LN(AD$7)*$E40+LN(1-AD$7)*($D40-$E40))</f>
        <v>0</v>
      </c>
      <c r="AE40" s="102">
        <f>EXP(lncombin($B40,$C40)+LN(AE$6)*$C40+LN(1-AE$6)*($B40-$C40)+lncombin($D40,$E40)+LN(AE$7)*$E40+LN(1-AE$7)*($D40-$E40))</f>
        <v>0</v>
      </c>
      <c r="AF40" s="102">
        <f>EXP(lncombin($B40,$C40)+LN(AF$6)*$C40+LN(1-AF$6)*($B40-$C40)+lncombin($D40,$E40)+LN(AF$7)*$E40+LN(1-AF$7)*($D40-$E40))</f>
        <v>0</v>
      </c>
      <c r="AG40" s="102">
        <f>EXP(lncombin($B40,$C40)+LN(AG$6)*$C40+LN(1-AG$6)*($B40-$C40)+lncombin($D40,$E40)+LN(AG$7)*$E40+LN(1-AG$7)*($D40-$E40))</f>
        <v>0</v>
      </c>
      <c r="AH40" s="102">
        <f>EXP(lncombin($B40,$C40)+LN(AH$6)*$C40+LN(1-AH$6)*($B40-$C40)+lncombin($D40,$E40)+LN(AH$7)*$E40+LN(1-AH$7)*($D40-$E40))</f>
        <v>0</v>
      </c>
      <c r="AI40" s="102">
        <f>EXP(lncombin($B40,$C40)+LN(AI$6)*$C40+LN(1-AI$6)*($B40-$C40)+lncombin($D40,$E40)+LN(AI$7)*$E40+LN(1-AI$7)*($D40-$E40))</f>
        <v>0</v>
      </c>
      <c r="AJ40" s="102">
        <f>EXP(lncombin($B40,$C40)+LN(AJ$6)*$C40+LN(1-AJ$6)*($B40-$C40)+lncombin($D40,$E40)+LN(AJ$7)*$E40+LN(1-AJ$7)*($D40-$E40))</f>
        <v>0</v>
      </c>
      <c r="AK40" s="102">
        <f>EXP(lncombin($B40,$C40)+LN(AK$6)*$C40+LN(1-AK$6)*($B40-$C40)+lncombin($D40,$E40)+LN(AK$7)*$E40+LN(1-AK$7)*($D40-$E40))</f>
        <v>0</v>
      </c>
      <c r="AL40" s="102">
        <f>EXP(lncombin($B40,$C40)+LN(AL$6)*$C40+LN(1-AL$6)*($B40-$C40)+lncombin($D40,$E40)+LN(AL$7)*$E40+LN(1-AL$7)*($D40-$E40))</f>
        <v>0</v>
      </c>
      <c r="AM40" s="102">
        <f>EXP(lncombin($B40,$C40)+LN(AM$6)*$C40+LN(1-AM$6)*($B40-$C40)+lncombin($D40,$E40)+LN(AM$7)*$E40+LN(1-AM$7)*($D40-$E40))</f>
        <v>0</v>
      </c>
      <c r="AN40" s="102">
        <f>EXP(lncombin($B40,$C40)+LN(AN$6)*$C40+LN(1-AN$6)*($B40-$C40)+lncombin($D40,$E40)+LN(AN$7)*$E40+LN(1-AN$7)*($D40-$E40))</f>
        <v>0</v>
      </c>
    </row>
    <row r="41" spans="1:40">
      <c r="A41">
        <v>2018</v>
      </c>
      <c r="B41" s="3">
        <v>3532</v>
      </c>
      <c r="C41" s="3">
        <v>0</v>
      </c>
      <c r="D41" s="3">
        <v>3449</v>
      </c>
      <c r="E41">
        <v>72</v>
      </c>
      <c r="F41" s="18"/>
      <c r="G41" s="18">
        <f t="shared" si="3"/>
        <v>-7.8508485050008696</v>
      </c>
      <c r="H41" s="3"/>
      <c r="I41" s="102">
        <f>EXP(lncombin($B41,$C41)+LN(I$6)*$C41+LN(1-I$6)*($B41-$C41)+lncombin($D41,$E41)+LN(I$7)*$E41+LN(1-I$7)*($D41-$E41))</f>
        <v>0</v>
      </c>
      <c r="J41" s="102">
        <f>EXP(lncombin($B41,$C41)+LN(J$6)*$C41+LN(1-J$6)*($B41-$C41)+lncombin($D41,$E41)+LN(J$7)*$E41+LN(1-J$7)*($D41-$E41))</f>
        <v>0</v>
      </c>
      <c r="K41" s="102">
        <f>EXP(lncombin($B41,$C41)+LN(K$6)*$C41+LN(1-K$6)*($B41-$C41)+lncombin($D41,$E41)+LN(K$7)*$E41+LN(1-K$7)*($D41-$E41))</f>
        <v>0</v>
      </c>
      <c r="L41" s="102">
        <f>EXP(lncombin($B41,$C41)+LN(L$6)*$C41+LN(1-L$6)*($B41-$C41)+lncombin($D41,$E41)+LN(L$7)*$E41+LN(1-L$7)*($D41-$E41))</f>
        <v>0</v>
      </c>
      <c r="M41" s="102">
        <f>EXP(lncombin($B41,$C41)+LN(M$6)*$C41+LN(1-M$6)*($B41-$C41)+lncombin($D41,$E41)+LN(M$7)*$E41+LN(1-M$7)*($D41-$E41))</f>
        <v>1.7220481482229422E-306</v>
      </c>
      <c r="N41" s="102">
        <f>EXP(lncombin($B41,$C41)+LN(N$6)*$C41+LN(1-N$6)*($B41-$C41)+lncombin($D41,$E41)+LN(N$7)*$E41+LN(1-N$7)*($D41-$E41))</f>
        <v>4.1769757435950445E-261</v>
      </c>
      <c r="O41" s="102">
        <f>EXP(lncombin($B41,$C41)+LN(O$6)*$C41+LN(1-O$6)*($B41-$C41)+lncombin($D41,$E41)+LN(O$7)*$E41+LN(1-O$7)*($D41-$E41))</f>
        <v>4.5433358077521816E-220</v>
      </c>
      <c r="P41" s="102">
        <f>EXP(lncombin($B41,$C41)+LN(P$6)*$C41+LN(1-P$6)*($B41-$C41)+lncombin($D41,$E41)+LN(P$7)*$E41+LN(1-P$7)*($D41-$E41))</f>
        <v>1.0954298093095728E-182</v>
      </c>
      <c r="Q41" s="102">
        <f>EXP(lncombin($B41,$C41)+LN(Q$6)*$C41+LN(1-Q$6)*($B41-$C41)+lncombin($D41,$E41)+LN(Q$7)*$E41+LN(1-Q$7)*($D41-$E41))</f>
        <v>1.7196175595367336E-148</v>
      </c>
      <c r="R41" s="102">
        <f>EXP(lncombin($B41,$C41)+LN(R$6)*$C41+LN(1-R$6)*($B41-$C41)+lncombin($D41,$E41)+LN(R$7)*$E41+LN(1-R$7)*($D41-$E41))</f>
        <v>3.4852636298763324E-117</v>
      </c>
      <c r="S41" s="102">
        <f>EXP(lncombin($B41,$C41)+LN(S$6)*$C41+LN(1-S$6)*($B41-$C41)+lncombin($D41,$E41)+LN(S$7)*$E41+LN(1-S$7)*($D41-$E41))</f>
        <v>1.2299898554938757E-88</v>
      </c>
      <c r="T41" s="102">
        <f>EXP(lncombin($B41,$C41)+LN(T$6)*$C41+LN(1-T$6)*($B41-$C41)+lncombin($D41,$E41)+LN(T$7)*$E41+LN(1-T$7)*($D41-$E41))</f>
        <v>6.3012830057065761E-63</v>
      </c>
      <c r="U41" s="102">
        <f>EXP(lncombin($B41,$C41)+LN(U$6)*$C41+LN(1-U$6)*($B41-$C41)+lncombin($D41,$E41)+LN(U$7)*$E41+LN(1-U$7)*($D41-$E41))</f>
        <v>1.9794371214937606E-40</v>
      </c>
      <c r="V41" s="102">
        <f>EXP(lncombin($B41,$C41)+LN(V$6)*$C41+LN(1-V$6)*($B41-$C41)+lncombin($D41,$E41)+LN(V$7)*$E41+LN(1-V$7)*($D41-$E41))</f>
        <v>6.0526921591938058E-22</v>
      </c>
      <c r="W41" s="102">
        <f>EXP(lncombin($B41,$C41)+LN(W$6)*$C41+LN(1-W$6)*($B41-$C41)+lncombin($D41,$E41)+LN(W$7)*$E41+LN(1-W$7)*($D41-$E41))</f>
        <v>7.3857386330705371E-9</v>
      </c>
      <c r="X41" s="102">
        <f>EXP(lncombin($B41,$C41)+LN(X$6)*$C41+LN(1-X$6)*($B41-$C41)+lncombin($D41,$E41)+LN(X$7)*$E41+LN(1-X$7)*($D41-$E41))</f>
        <v>2.5524322660526451E-3</v>
      </c>
      <c r="Y41" s="102">
        <f>EXP(lncombin($B41,$C41)+LN(Y$6)*$C41+LN(1-Y$6)*($B41-$C41)+lncombin($D41,$E41)+LN(Y$7)*$E41+LN(1-Y$7)*($D41-$E41))</f>
        <v>2.1625386774115524E-8</v>
      </c>
      <c r="Z41" s="102">
        <f>EXP(lncombin($B41,$C41)+LN(Z$6)*$C41+LN(1-Z$6)*($B41-$C41)+lncombin($D41,$E41)+LN(Z$7)*$E41+LN(1-Z$7)*($D41-$E41))</f>
        <v>3.7877517600258176E-28</v>
      </c>
      <c r="AA41" s="102">
        <f>EXP(lncombin($B41,$C41)+LN(AA$6)*$C41+LN(1-AA$6)*($B41-$C41)+lncombin($D41,$E41)+LN(AA$7)*$E41+LN(1-AA$7)*($D41-$E41))</f>
        <v>1.0673479009636289E-67</v>
      </c>
      <c r="AB41" s="102">
        <f>EXP(lncombin($B41,$C41)+LN(AB$6)*$C41+LN(1-AB$6)*($B41-$C41)+lncombin($D41,$E41)+LN(AB$7)*$E41+LN(1-AB$7)*($D41-$E41))</f>
        <v>3.867713752630679E-133</v>
      </c>
      <c r="AC41" s="102">
        <f>EXP(lncombin($B41,$C41)+LN(AC$6)*$C41+LN(1-AC$6)*($B41-$C41)+lncombin($D41,$E41)+LN(AC$7)*$E41+LN(1-AC$7)*($D41-$E41))</f>
        <v>1.8052289572168418E-231</v>
      </c>
      <c r="AD41" s="102">
        <f>EXP(lncombin($B41,$C41)+LN(AD$6)*$C41+LN(1-AD$6)*($B41-$C41)+lncombin($D41,$E41)+LN(AD$7)*$E41+LN(1-AD$7)*($D41-$E41))</f>
        <v>0</v>
      </c>
      <c r="AE41" s="102">
        <f>EXP(lncombin($B41,$C41)+LN(AE$6)*$C41+LN(1-AE$6)*($B41-$C41)+lncombin($D41,$E41)+LN(AE$7)*$E41+LN(1-AE$7)*($D41-$E41))</f>
        <v>0</v>
      </c>
      <c r="AF41" s="102">
        <f>EXP(lncombin($B41,$C41)+LN(AF$6)*$C41+LN(1-AF$6)*($B41-$C41)+lncombin($D41,$E41)+LN(AF$7)*$E41+LN(1-AF$7)*($D41-$E41))</f>
        <v>0</v>
      </c>
      <c r="AG41" s="102">
        <f>EXP(lncombin($B41,$C41)+LN(AG$6)*$C41+LN(1-AG$6)*($B41-$C41)+lncombin($D41,$E41)+LN(AG$7)*$E41+LN(1-AG$7)*($D41-$E41))</f>
        <v>0</v>
      </c>
      <c r="AH41" s="102">
        <f>EXP(lncombin($B41,$C41)+LN(AH$6)*$C41+LN(1-AH$6)*($B41-$C41)+lncombin($D41,$E41)+LN(AH$7)*$E41+LN(1-AH$7)*($D41-$E41))</f>
        <v>0</v>
      </c>
      <c r="AI41" s="102">
        <f>EXP(lncombin($B41,$C41)+LN(AI$6)*$C41+LN(1-AI$6)*($B41-$C41)+lncombin($D41,$E41)+LN(AI$7)*$E41+LN(1-AI$7)*($D41-$E41))</f>
        <v>0</v>
      </c>
      <c r="AJ41" s="102">
        <f>EXP(lncombin($B41,$C41)+LN(AJ$6)*$C41+LN(1-AJ$6)*($B41-$C41)+lncombin($D41,$E41)+LN(AJ$7)*$E41+LN(1-AJ$7)*($D41-$E41))</f>
        <v>0</v>
      </c>
      <c r="AK41" s="102">
        <f>EXP(lncombin($B41,$C41)+LN(AK$6)*$C41+LN(1-AK$6)*($B41-$C41)+lncombin($D41,$E41)+LN(AK$7)*$E41+LN(1-AK$7)*($D41-$E41))</f>
        <v>0</v>
      </c>
      <c r="AL41" s="102">
        <f>EXP(lncombin($B41,$C41)+LN(AL$6)*$C41+LN(1-AL$6)*($B41-$C41)+lncombin($D41,$E41)+LN(AL$7)*$E41+LN(1-AL$7)*($D41-$E41))</f>
        <v>0</v>
      </c>
      <c r="AM41" s="102">
        <f>EXP(lncombin($B41,$C41)+LN(AM$6)*$C41+LN(1-AM$6)*($B41-$C41)+lncombin($D41,$E41)+LN(AM$7)*$E41+LN(1-AM$7)*($D41-$E41))</f>
        <v>0</v>
      </c>
      <c r="AN41" s="102">
        <f>EXP(lncombin($B41,$C41)+LN(AN$6)*$C41+LN(1-AN$6)*($B41-$C41)+lncombin($D41,$E41)+LN(AN$7)*$E41+LN(1-AN$7)*($D41-$E41))</f>
        <v>0</v>
      </c>
    </row>
    <row r="42" spans="1:40">
      <c r="B42" s="3"/>
      <c r="C42" s="3"/>
      <c r="D42" s="3"/>
      <c r="E42" s="18"/>
      <c r="F42" s="18"/>
      <c r="G42" s="18"/>
      <c r="H42" s="3"/>
      <c r="V42" s="8"/>
      <c r="W42" s="8"/>
      <c r="X42" s="8"/>
      <c r="Y42" s="8"/>
    </row>
    <row r="43" spans="1:40">
      <c r="B43" s="3"/>
      <c r="C43" s="3"/>
      <c r="D43" s="3"/>
      <c r="E43" s="18"/>
      <c r="F43" s="18"/>
      <c r="G43" s="18"/>
      <c r="H43" s="3"/>
      <c r="I43" s="21" t="s">
        <v>28</v>
      </c>
      <c r="J43" s="3"/>
      <c r="K43" s="3"/>
      <c r="L43" s="3"/>
      <c r="M43" s="3"/>
      <c r="N43" s="3"/>
      <c r="O43" s="3"/>
      <c r="P43" s="3"/>
      <c r="Q43" s="3"/>
      <c r="R43" s="3"/>
    </row>
    <row r="44" spans="1:40">
      <c r="B44" s="3"/>
      <c r="C44" s="3"/>
      <c r="D44" s="3"/>
      <c r="E44" s="18"/>
      <c r="F44" s="18"/>
      <c r="G44" s="18"/>
      <c r="H44" s="3"/>
      <c r="I44" s="26" t="s">
        <v>29</v>
      </c>
      <c r="J44" s="3"/>
      <c r="K44" s="3"/>
      <c r="L44" s="3"/>
      <c r="M44" s="3"/>
      <c r="N44" s="3"/>
      <c r="O44" s="3"/>
      <c r="P44" s="3"/>
      <c r="Q44" s="3"/>
      <c r="R44" s="3"/>
    </row>
    <row r="45" spans="1:40">
      <c r="B45" s="3"/>
      <c r="C45" s="3"/>
      <c r="D45" s="3"/>
      <c r="E45" s="18"/>
      <c r="F45" s="18"/>
      <c r="G45" s="18"/>
      <c r="H45" s="3"/>
      <c r="I45" s="3" t="s">
        <v>33</v>
      </c>
      <c r="J45" s="3"/>
      <c r="K45" s="3"/>
      <c r="L45" s="3"/>
      <c r="M45" s="3"/>
      <c r="N45" s="3"/>
      <c r="O45" s="3"/>
      <c r="P45" s="3"/>
      <c r="Q45" s="3"/>
      <c r="R45" s="3"/>
    </row>
    <row r="46" spans="1:40">
      <c r="B46" s="3"/>
      <c r="C46" s="3"/>
      <c r="D46" s="3"/>
      <c r="E46" s="18"/>
      <c r="F46" s="18"/>
      <c r="G46" s="18"/>
      <c r="H46" s="3"/>
      <c r="I46" s="26" t="s">
        <v>34</v>
      </c>
      <c r="J46" s="3"/>
      <c r="K46" s="3"/>
      <c r="L46" s="3"/>
      <c r="M46" s="3"/>
      <c r="N46" s="3"/>
      <c r="O46" s="3"/>
      <c r="P46" s="3"/>
      <c r="Q46" s="3"/>
      <c r="R46" s="3"/>
    </row>
    <row r="47" spans="1:40">
      <c r="B47" s="3"/>
      <c r="C47" s="3"/>
      <c r="D47" s="3"/>
      <c r="E47" s="18"/>
      <c r="F47" s="18"/>
      <c r="G47" s="18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V47" s="8"/>
      <c r="W47" s="8"/>
      <c r="X47" s="8"/>
      <c r="Y47" s="8"/>
    </row>
    <row r="48" spans="1:40">
      <c r="B48" s="3"/>
      <c r="C48" s="3"/>
      <c r="D48" s="3"/>
      <c r="E48" s="18"/>
      <c r="F48" s="18"/>
      <c r="G48" s="18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</row>
    <row r="49" spans="2:18">
      <c r="B49" s="3"/>
      <c r="C49" s="3"/>
      <c r="D49" s="3"/>
      <c r="E49" s="18"/>
      <c r="F49" s="18"/>
      <c r="G49" s="18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</row>
    <row r="50" spans="2:18">
      <c r="B50" s="3"/>
      <c r="C50" s="3"/>
      <c r="D50" s="3"/>
      <c r="E50" s="18"/>
      <c r="F50" s="18"/>
      <c r="G50" s="18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</row>
    <row r="51" spans="2:18">
      <c r="B51" s="3"/>
      <c r="C51" s="3"/>
      <c r="D51" s="3"/>
      <c r="E51" s="19"/>
      <c r="F51" s="19"/>
      <c r="G51" s="19"/>
      <c r="I51" s="3"/>
      <c r="J51" s="3"/>
      <c r="K51" s="3"/>
      <c r="L51" s="3"/>
      <c r="M51" s="3"/>
      <c r="N51" s="3"/>
      <c r="O51" s="3"/>
      <c r="P51" s="3"/>
      <c r="Q51" s="3"/>
      <c r="R51" s="3"/>
    </row>
    <row r="52" spans="2:18">
      <c r="B52" s="3"/>
      <c r="C52" s="3"/>
      <c r="D52" s="3"/>
      <c r="E52" s="18"/>
      <c r="F52" s="18"/>
      <c r="G52" s="18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</row>
    <row r="53" spans="2:18">
      <c r="B53" s="3"/>
      <c r="C53" s="3"/>
      <c r="D53" s="3"/>
      <c r="E53" s="18"/>
      <c r="F53" s="18"/>
      <c r="G53" s="18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</row>
    <row r="54" spans="2:18">
      <c r="B54" s="3"/>
      <c r="C54" s="3"/>
      <c r="D54" s="3"/>
      <c r="E54" s="18"/>
      <c r="F54" s="18"/>
      <c r="G54" s="18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</row>
    <row r="55" spans="2:18">
      <c r="B55" s="3"/>
      <c r="C55" s="3"/>
      <c r="D55" s="3"/>
      <c r="E55" s="18"/>
      <c r="F55" s="18"/>
      <c r="G55" s="18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</row>
    <row r="56" spans="2:18">
      <c r="B56" s="3"/>
      <c r="C56" s="3"/>
      <c r="D56" s="3"/>
      <c r="E56" s="18"/>
      <c r="F56" s="18"/>
      <c r="G56" s="18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2:18">
      <c r="B57" s="3"/>
      <c r="C57" s="3"/>
      <c r="D57" s="3"/>
      <c r="E57" s="18"/>
      <c r="F57" s="18"/>
      <c r="G57" s="18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</row>
    <row r="58" spans="2:18">
      <c r="B58" s="3"/>
      <c r="C58" s="3"/>
      <c r="D58" s="3"/>
      <c r="E58" s="18"/>
      <c r="F58" s="18"/>
      <c r="G58" s="18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</row>
    <row r="59" spans="2:18">
      <c r="B59" s="3"/>
      <c r="C59" s="3"/>
      <c r="D59" s="3"/>
      <c r="E59" s="18"/>
      <c r="F59" s="18"/>
      <c r="G59" s="18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</row>
    <row r="60" spans="2:18">
      <c r="B60" s="3"/>
      <c r="C60" s="3"/>
      <c r="D60" s="3"/>
      <c r="E60" s="18"/>
      <c r="F60" s="18"/>
      <c r="G60" s="18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2:18">
      <c r="B61" s="3"/>
      <c r="C61" s="3"/>
      <c r="D61" s="3"/>
      <c r="E61" s="18"/>
      <c r="F61" s="18"/>
      <c r="G61" s="18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</row>
    <row r="62" spans="2:18">
      <c r="B62" s="3"/>
      <c r="C62" s="3"/>
      <c r="D62" s="3"/>
      <c r="E62" s="18"/>
      <c r="F62" s="18"/>
      <c r="G62" s="18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</row>
    <row r="63" spans="2:18">
      <c r="B63" s="3"/>
      <c r="C63" s="3"/>
      <c r="D63" s="3"/>
      <c r="E63" s="18"/>
      <c r="F63" s="18"/>
      <c r="G63" s="18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</row>
    <row r="64" spans="2:18">
      <c r="B64" s="3"/>
      <c r="C64" s="3"/>
      <c r="D64" s="3"/>
      <c r="E64" s="18"/>
      <c r="F64" s="18"/>
      <c r="G64" s="18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</row>
    <row r="65" spans="2:18">
      <c r="B65" s="3"/>
      <c r="C65" s="3"/>
      <c r="D65" s="3"/>
      <c r="E65" s="18"/>
      <c r="F65" s="18"/>
      <c r="G65" s="18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</row>
    <row r="66" spans="2:18">
      <c r="B66" s="3"/>
      <c r="C66" s="3"/>
      <c r="D66" s="3"/>
      <c r="E66" s="18"/>
      <c r="F66" s="18"/>
      <c r="G66" s="18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</row>
    <row r="67" spans="2:18">
      <c r="B67" s="3"/>
      <c r="C67" s="3"/>
      <c r="D67" s="3"/>
      <c r="E67" s="18"/>
      <c r="F67" s="18"/>
      <c r="G67" s="18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</row>
    <row r="68" spans="2:18">
      <c r="B68" s="3"/>
      <c r="C68" s="3"/>
      <c r="D68" s="3"/>
      <c r="E68" s="18"/>
      <c r="F68" s="18"/>
      <c r="G68" s="18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</row>
    <row r="69" spans="2:18">
      <c r="B69" s="3"/>
      <c r="D69" s="18"/>
      <c r="E69" s="18"/>
      <c r="F69" s="18"/>
      <c r="G69" s="18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2:18">
      <c r="B70" s="3"/>
      <c r="D70" s="18"/>
      <c r="E70" s="18"/>
      <c r="F70" s="18"/>
      <c r="G70" s="18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2:18">
      <c r="B71" s="3"/>
      <c r="D71" s="18"/>
      <c r="E71" s="18"/>
      <c r="F71" s="18"/>
      <c r="G71" s="18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2:18">
      <c r="G72" s="19"/>
    </row>
    <row r="73" spans="2:18">
      <c r="G73" s="19"/>
      <c r="H73" s="3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2:18">
      <c r="G74" s="19"/>
      <c r="H74" s="3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2:18">
      <c r="G75" s="19"/>
      <c r="H75" s="3"/>
      <c r="I75" s="7"/>
      <c r="J75" s="7"/>
      <c r="K75" s="7"/>
      <c r="L75" s="7"/>
      <c r="M75" s="7"/>
      <c r="N75" s="7"/>
      <c r="O75" s="7"/>
      <c r="P75" s="7"/>
      <c r="Q75" s="7"/>
      <c r="R75" s="7"/>
    </row>
    <row r="76" spans="2:18">
      <c r="G76" s="19"/>
      <c r="H76" s="3"/>
      <c r="I76" s="7"/>
      <c r="J76" s="7"/>
      <c r="K76" s="7"/>
      <c r="L76" s="7"/>
      <c r="M76" s="7"/>
      <c r="N76" s="7"/>
      <c r="O76" s="7"/>
      <c r="P76" s="7"/>
      <c r="Q76" s="7"/>
      <c r="R76" s="7"/>
    </row>
    <row r="77" spans="2:18">
      <c r="G77" s="19"/>
      <c r="H77" s="3"/>
      <c r="I77" s="7"/>
      <c r="J77" s="7"/>
      <c r="K77" s="7"/>
      <c r="L77" s="7"/>
      <c r="M77" s="7"/>
      <c r="N77" s="7"/>
      <c r="O77" s="7"/>
      <c r="P77" s="7"/>
      <c r="Q77" s="7"/>
      <c r="R77" s="7"/>
    </row>
    <row r="78" spans="2:18">
      <c r="G78" s="19"/>
      <c r="H78" s="3"/>
      <c r="I78" s="7"/>
      <c r="J78" s="7"/>
      <c r="K78" s="7"/>
      <c r="L78" s="7"/>
      <c r="M78" s="7"/>
      <c r="N78" s="7"/>
      <c r="O78" s="7"/>
      <c r="P78" s="7"/>
      <c r="Q78" s="7"/>
      <c r="R78" s="7"/>
    </row>
    <row r="79" spans="2:18">
      <c r="G79" s="19"/>
      <c r="H79" s="3"/>
      <c r="I79" s="7"/>
      <c r="J79" s="7"/>
      <c r="K79" s="7"/>
      <c r="L79" s="7"/>
      <c r="M79" s="7"/>
      <c r="N79" s="7"/>
      <c r="O79" s="7"/>
      <c r="P79" s="7"/>
      <c r="Q79" s="7"/>
      <c r="R79" s="7"/>
    </row>
    <row r="80" spans="2:18">
      <c r="G80" s="19"/>
      <c r="H80" s="3"/>
      <c r="I80" s="7"/>
      <c r="J80" s="7"/>
      <c r="K80" s="7"/>
      <c r="L80" s="7"/>
      <c r="M80" s="7"/>
      <c r="N80" s="7"/>
      <c r="O80" s="7"/>
      <c r="P80" s="7"/>
      <c r="Q80" s="7"/>
      <c r="R80" s="7"/>
    </row>
    <row r="81" spans="7:18">
      <c r="G81" s="19"/>
      <c r="H81" s="3"/>
      <c r="I81" s="7"/>
      <c r="J81" s="7"/>
      <c r="K81" s="7"/>
      <c r="L81" s="7"/>
      <c r="M81" s="7"/>
      <c r="N81" s="7"/>
      <c r="O81" s="7"/>
      <c r="P81" s="7"/>
      <c r="Q81" s="7"/>
      <c r="R81" s="7"/>
    </row>
    <row r="82" spans="7:18">
      <c r="G82" s="19"/>
      <c r="H82" s="3"/>
      <c r="I82" s="7"/>
      <c r="J82" s="7"/>
      <c r="K82" s="7"/>
      <c r="L82" s="7"/>
      <c r="M82" s="7"/>
      <c r="N82" s="7"/>
      <c r="O82" s="7"/>
      <c r="P82" s="7"/>
      <c r="Q82" s="7"/>
      <c r="R82" s="7"/>
    </row>
    <row r="83" spans="7:18">
      <c r="G83" s="19"/>
      <c r="H83" s="3"/>
      <c r="I83" s="7"/>
      <c r="J83" s="7"/>
      <c r="K83" s="7"/>
      <c r="L83" s="7"/>
      <c r="M83" s="7"/>
      <c r="N83" s="7"/>
      <c r="O83" s="7"/>
      <c r="P83" s="7"/>
      <c r="Q83" s="7"/>
      <c r="R83" s="7"/>
    </row>
    <row r="84" spans="7:18">
      <c r="G84" s="19"/>
      <c r="H84" s="3"/>
      <c r="I84" s="7"/>
      <c r="J84" s="7"/>
      <c r="K84" s="7"/>
      <c r="L84" s="7"/>
      <c r="M84" s="7"/>
      <c r="N84" s="7"/>
      <c r="O84" s="7"/>
      <c r="P84" s="7"/>
      <c r="Q84" s="7"/>
      <c r="R84" s="7"/>
    </row>
    <row r="85" spans="7:18">
      <c r="G85" s="19"/>
      <c r="H85" s="3"/>
      <c r="I85" s="7"/>
      <c r="J85" s="7"/>
      <c r="K85" s="7"/>
      <c r="L85" s="7"/>
      <c r="M85" s="7"/>
      <c r="N85" s="7"/>
      <c r="O85" s="7"/>
      <c r="P85" s="7"/>
      <c r="Q85" s="7"/>
      <c r="R85" s="7"/>
    </row>
    <row r="86" spans="7:18">
      <c r="G86" s="19"/>
      <c r="H86" s="3"/>
      <c r="I86" s="7"/>
      <c r="J86" s="7"/>
      <c r="K86" s="7"/>
      <c r="L86" s="7"/>
      <c r="M86" s="7"/>
      <c r="N86" s="7"/>
      <c r="O86" s="7"/>
      <c r="P86" s="7"/>
      <c r="Q86" s="7"/>
      <c r="R86" s="7"/>
    </row>
    <row r="87" spans="7:18">
      <c r="G87" s="19"/>
      <c r="H87" s="3"/>
      <c r="I87" s="7"/>
      <c r="J87" s="7"/>
      <c r="K87" s="7"/>
      <c r="L87" s="7"/>
      <c r="M87" s="7"/>
      <c r="N87" s="7"/>
      <c r="O87" s="7"/>
      <c r="P87" s="7"/>
      <c r="Q87" s="7"/>
      <c r="R87" s="7"/>
    </row>
    <row r="88" spans="7:18">
      <c r="G88" s="19"/>
      <c r="H88" s="3"/>
      <c r="I88" s="7"/>
      <c r="J88" s="7"/>
      <c r="K88" s="7"/>
      <c r="L88" s="7"/>
      <c r="M88" s="7"/>
      <c r="N88" s="7"/>
      <c r="O88" s="7"/>
      <c r="P88" s="7"/>
      <c r="Q88" s="7"/>
      <c r="R88" s="7"/>
    </row>
    <row r="89" spans="7:18">
      <c r="G89" s="19"/>
      <c r="H89" s="3"/>
      <c r="I89" s="7"/>
      <c r="J89" s="7"/>
      <c r="K89" s="7"/>
      <c r="L89" s="7"/>
      <c r="M89" s="7"/>
      <c r="N89" s="7"/>
      <c r="O89" s="7"/>
      <c r="P89" s="7"/>
      <c r="Q89" s="7"/>
      <c r="R89" s="7"/>
    </row>
    <row r="90" spans="7:18">
      <c r="G90" s="19"/>
      <c r="H90" s="3"/>
      <c r="I90" s="7"/>
      <c r="J90" s="7"/>
      <c r="K90" s="7"/>
      <c r="L90" s="7"/>
      <c r="M90" s="7"/>
      <c r="N90" s="7"/>
      <c r="O90" s="7"/>
      <c r="P90" s="7"/>
      <c r="Q90" s="7"/>
      <c r="R90" s="7"/>
    </row>
    <row r="91" spans="7:18">
      <c r="G91" s="19"/>
      <c r="H91" s="3"/>
      <c r="I91" s="7"/>
      <c r="J91" s="7"/>
      <c r="K91" s="7"/>
      <c r="L91" s="7"/>
      <c r="M91" s="7"/>
      <c r="N91" s="7"/>
      <c r="O91" s="7"/>
      <c r="P91" s="7"/>
      <c r="Q91" s="7"/>
      <c r="R91" s="7"/>
    </row>
    <row r="92" spans="7:18">
      <c r="G92" s="19"/>
      <c r="H92" s="3"/>
      <c r="I92" s="7"/>
      <c r="J92" s="7"/>
      <c r="K92" s="7"/>
      <c r="L92" s="7"/>
      <c r="M92" s="7"/>
      <c r="N92" s="7"/>
      <c r="O92" s="7"/>
      <c r="P92" s="7"/>
      <c r="Q92" s="7"/>
      <c r="R92" s="7"/>
    </row>
    <row r="93" spans="7:18">
      <c r="G93" s="19"/>
    </row>
    <row r="94" spans="7:18">
      <c r="G94" s="19"/>
    </row>
    <row r="95" spans="7:18">
      <c r="G95" s="19"/>
    </row>
    <row r="96" spans="7:18">
      <c r="G96" s="19"/>
    </row>
    <row r="97" spans="7:7">
      <c r="G97" s="19"/>
    </row>
    <row r="98" spans="7:7">
      <c r="G98" s="19"/>
    </row>
    <row r="99" spans="7:7">
      <c r="G99" s="19"/>
    </row>
    <row r="100" spans="7:7">
      <c r="G100" s="19"/>
    </row>
    <row r="101" spans="7:7">
      <c r="G101" s="19"/>
    </row>
    <row r="102" spans="7:7">
      <c r="G102" s="19"/>
    </row>
    <row r="103" spans="7:7">
      <c r="G103" s="19"/>
    </row>
    <row r="104" spans="7:7">
      <c r="G104" s="19"/>
    </row>
    <row r="105" spans="7:7">
      <c r="G105" s="19"/>
    </row>
    <row r="106" spans="7:7">
      <c r="G106" s="19"/>
    </row>
    <row r="107" spans="7:7">
      <c r="G107" s="19"/>
    </row>
    <row r="108" spans="7:7">
      <c r="G108" s="19"/>
    </row>
    <row r="109" spans="7:7">
      <c r="G109" s="19"/>
    </row>
    <row r="110" spans="7:7">
      <c r="G110" s="19"/>
    </row>
    <row r="111" spans="7:7">
      <c r="G111" s="19"/>
    </row>
    <row r="112" spans="7:7">
      <c r="G112" s="19"/>
    </row>
    <row r="113" spans="7:7">
      <c r="G113" s="19"/>
    </row>
    <row r="114" spans="7:7">
      <c r="G114" s="19"/>
    </row>
    <row r="115" spans="7:7">
      <c r="G115" s="19"/>
    </row>
    <row r="116" spans="7:7">
      <c r="G116" s="19"/>
    </row>
    <row r="117" spans="7:7">
      <c r="G117" s="19"/>
    </row>
    <row r="118" spans="7:7">
      <c r="G118" s="19"/>
    </row>
    <row r="119" spans="7:7">
      <c r="G119" s="19"/>
    </row>
    <row r="120" spans="7:7">
      <c r="G120" s="19"/>
    </row>
    <row r="121" spans="7:7">
      <c r="G121" s="19"/>
    </row>
    <row r="122" spans="7:7">
      <c r="G122" s="19"/>
    </row>
    <row r="123" spans="7:7">
      <c r="G123" s="19"/>
    </row>
    <row r="124" spans="7:7">
      <c r="G124" s="19"/>
    </row>
    <row r="125" spans="7:7">
      <c r="G125" s="19"/>
    </row>
    <row r="126" spans="7:7">
      <c r="G126" s="19"/>
    </row>
    <row r="127" spans="7:7">
      <c r="G127" s="19"/>
    </row>
    <row r="128" spans="7:7">
      <c r="G128" s="19"/>
    </row>
    <row r="129" spans="7:25">
      <c r="G129" s="19"/>
    </row>
    <row r="130" spans="7:25">
      <c r="G130" s="19"/>
    </row>
    <row r="131" spans="7:25">
      <c r="G131" s="19"/>
    </row>
    <row r="132" spans="7:25">
      <c r="G132" s="19"/>
      <c r="V132" s="8"/>
      <c r="W132" s="8"/>
      <c r="X132" s="8"/>
      <c r="Y132" s="8"/>
    </row>
    <row r="133" spans="7:25">
      <c r="G133" s="19"/>
    </row>
    <row r="134" spans="7:25">
      <c r="G134" s="19"/>
    </row>
    <row r="135" spans="7:25">
      <c r="G135" s="19"/>
    </row>
    <row r="136" spans="7:25">
      <c r="G136" s="19"/>
    </row>
    <row r="137" spans="7:25">
      <c r="G137" s="19"/>
    </row>
    <row r="138" spans="7:25">
      <c r="G138" s="19"/>
    </row>
    <row r="139" spans="7:25">
      <c r="G139" s="19"/>
    </row>
    <row r="140" spans="7:25">
      <c r="G140" s="19"/>
    </row>
    <row r="141" spans="7:25">
      <c r="G141" s="19"/>
    </row>
    <row r="142" spans="7:25">
      <c r="G142" s="19"/>
    </row>
    <row r="143" spans="7:25">
      <c r="G143" s="19"/>
    </row>
    <row r="144" spans="7:25">
      <c r="G144" s="19"/>
    </row>
    <row r="145" spans="7:7">
      <c r="G145" s="19"/>
    </row>
    <row r="146" spans="7:7">
      <c r="G146" s="19"/>
    </row>
    <row r="147" spans="7:7">
      <c r="G147" s="19"/>
    </row>
    <row r="148" spans="7:7">
      <c r="G148" s="19"/>
    </row>
    <row r="149" spans="7:7">
      <c r="G149" s="19"/>
    </row>
    <row r="150" spans="7:7">
      <c r="G150" s="19"/>
    </row>
    <row r="151" spans="7:7">
      <c r="G151" s="19"/>
    </row>
    <row r="152" spans="7:7">
      <c r="G152" s="19"/>
    </row>
    <row r="153" spans="7:7">
      <c r="G153" s="19"/>
    </row>
    <row r="154" spans="7:7">
      <c r="G154" s="19"/>
    </row>
    <row r="155" spans="7:7">
      <c r="G155" s="19"/>
    </row>
    <row r="156" spans="7:7">
      <c r="G156" s="19"/>
    </row>
    <row r="157" spans="7:7">
      <c r="G157" s="19"/>
    </row>
    <row r="158" spans="7:7">
      <c r="G158" s="19"/>
    </row>
    <row r="159" spans="7:7">
      <c r="G159" s="19"/>
    </row>
    <row r="160" spans="7:7">
      <c r="G160" s="19"/>
    </row>
    <row r="161" spans="7:7">
      <c r="G161" s="19"/>
    </row>
    <row r="162" spans="7:7">
      <c r="G162" s="19"/>
    </row>
    <row r="163" spans="7:7">
      <c r="G163" s="19"/>
    </row>
    <row r="164" spans="7:7">
      <c r="G164" s="19"/>
    </row>
    <row r="165" spans="7:7">
      <c r="G165" s="19"/>
    </row>
    <row r="166" spans="7:7">
      <c r="G166" s="19"/>
    </row>
    <row r="167" spans="7:7">
      <c r="G167" s="19"/>
    </row>
    <row r="168" spans="7:7">
      <c r="G168" s="19"/>
    </row>
    <row r="169" spans="7:7">
      <c r="G169" s="19"/>
    </row>
    <row r="170" spans="7:7">
      <c r="G170" s="19"/>
    </row>
    <row r="171" spans="7:7">
      <c r="G171" s="19"/>
    </row>
    <row r="172" spans="7:7">
      <c r="G172" s="19"/>
    </row>
    <row r="173" spans="7:7">
      <c r="G173" s="19"/>
    </row>
    <row r="174" spans="7:7">
      <c r="G174" s="19"/>
    </row>
    <row r="175" spans="7:7">
      <c r="G175" s="19"/>
    </row>
    <row r="176" spans="7:7">
      <c r="G176" s="19"/>
    </row>
    <row r="177" spans="7:7">
      <c r="G177" s="19"/>
    </row>
    <row r="178" spans="7:7">
      <c r="G178" s="19"/>
    </row>
    <row r="179" spans="7:7">
      <c r="G179" s="19"/>
    </row>
    <row r="180" spans="7:7">
      <c r="G180" s="19"/>
    </row>
    <row r="181" spans="7:7">
      <c r="G181" s="19"/>
    </row>
    <row r="182" spans="7:7">
      <c r="G182" s="19"/>
    </row>
    <row r="183" spans="7:7">
      <c r="G183" s="19"/>
    </row>
    <row r="184" spans="7:7">
      <c r="G184" s="19"/>
    </row>
    <row r="185" spans="7:7">
      <c r="G185" s="19"/>
    </row>
    <row r="186" spans="7:7">
      <c r="G186" s="19"/>
    </row>
    <row r="187" spans="7:7">
      <c r="G187" s="19"/>
    </row>
    <row r="188" spans="7:7">
      <c r="G188" s="19"/>
    </row>
    <row r="189" spans="7:7">
      <c r="G189" s="19"/>
    </row>
    <row r="190" spans="7:7">
      <c r="G190" s="19"/>
    </row>
    <row r="191" spans="7:7">
      <c r="G191" s="19"/>
    </row>
    <row r="192" spans="7:7">
      <c r="G192" s="19"/>
    </row>
    <row r="193" spans="7:7">
      <c r="G193" s="19"/>
    </row>
    <row r="194" spans="7:7">
      <c r="G194" s="19"/>
    </row>
    <row r="195" spans="7:7">
      <c r="G195" s="19"/>
    </row>
    <row r="196" spans="7:7">
      <c r="G196" s="19"/>
    </row>
    <row r="197" spans="7:7">
      <c r="G197" s="19"/>
    </row>
    <row r="198" spans="7:7">
      <c r="G198" s="19"/>
    </row>
    <row r="199" spans="7:7">
      <c r="G199" s="19"/>
    </row>
    <row r="200" spans="7:7">
      <c r="G200" s="19"/>
    </row>
    <row r="201" spans="7:7">
      <c r="G201" s="19"/>
    </row>
    <row r="202" spans="7:7">
      <c r="G202" s="19"/>
    </row>
    <row r="203" spans="7:7">
      <c r="G203" s="19"/>
    </row>
    <row r="204" spans="7:7">
      <c r="G204" s="19"/>
    </row>
    <row r="205" spans="7:7">
      <c r="G205" s="19"/>
    </row>
    <row r="206" spans="7:7">
      <c r="G206" s="19"/>
    </row>
    <row r="207" spans="7:7">
      <c r="G207" s="19"/>
    </row>
    <row r="208" spans="7:7">
      <c r="G208" s="19"/>
    </row>
    <row r="209" spans="7:7">
      <c r="G209" s="19"/>
    </row>
    <row r="210" spans="7:7">
      <c r="G210" s="19"/>
    </row>
    <row r="211" spans="7:7">
      <c r="G211" s="19"/>
    </row>
    <row r="212" spans="7:7">
      <c r="G212" s="19"/>
    </row>
    <row r="213" spans="7:7">
      <c r="G213" s="19"/>
    </row>
    <row r="214" spans="7:7">
      <c r="G214" s="19"/>
    </row>
    <row r="215" spans="7:7">
      <c r="G215" s="19"/>
    </row>
    <row r="216" spans="7:7">
      <c r="G216" s="19"/>
    </row>
    <row r="217" spans="7:7">
      <c r="G217" s="19"/>
    </row>
    <row r="218" spans="7:7">
      <c r="G218" s="19"/>
    </row>
    <row r="219" spans="7:7">
      <c r="G219" s="19"/>
    </row>
    <row r="220" spans="7:7">
      <c r="G220" s="19"/>
    </row>
    <row r="221" spans="7:7">
      <c r="G221" s="19"/>
    </row>
    <row r="222" spans="7:7">
      <c r="G222" s="19"/>
    </row>
    <row r="223" spans="7:7">
      <c r="G223" s="19"/>
    </row>
    <row r="224" spans="7:7">
      <c r="G224" s="19"/>
    </row>
    <row r="225" spans="7:7">
      <c r="G225" s="19"/>
    </row>
    <row r="226" spans="7:7">
      <c r="G226" s="19"/>
    </row>
    <row r="227" spans="7:7">
      <c r="G227" s="19"/>
    </row>
    <row r="228" spans="7:7">
      <c r="G228" s="19"/>
    </row>
    <row r="229" spans="7:7">
      <c r="G229" s="19"/>
    </row>
    <row r="230" spans="7:7">
      <c r="G230" s="19"/>
    </row>
    <row r="231" spans="7:7">
      <c r="G231" s="19"/>
    </row>
    <row r="232" spans="7:7">
      <c r="G232" s="19"/>
    </row>
    <row r="233" spans="7:7">
      <c r="G233" s="19"/>
    </row>
    <row r="234" spans="7:7">
      <c r="G234" s="19"/>
    </row>
    <row r="235" spans="7:7">
      <c r="G235" s="19"/>
    </row>
    <row r="236" spans="7:7">
      <c r="G236" s="19"/>
    </row>
    <row r="237" spans="7:7">
      <c r="G237" s="19"/>
    </row>
    <row r="238" spans="7:7">
      <c r="G238" s="19"/>
    </row>
    <row r="239" spans="7:7">
      <c r="G239" s="19"/>
    </row>
    <row r="240" spans="7:7">
      <c r="G240" s="19"/>
    </row>
    <row r="241" spans="7:7">
      <c r="G241" s="19"/>
    </row>
    <row r="242" spans="7:7">
      <c r="G242" s="19"/>
    </row>
    <row r="243" spans="7:7">
      <c r="G243" s="19"/>
    </row>
    <row r="244" spans="7:7">
      <c r="G244" s="19"/>
    </row>
    <row r="245" spans="7:7">
      <c r="G245" s="19"/>
    </row>
    <row r="246" spans="7:7">
      <c r="G246" s="19"/>
    </row>
    <row r="247" spans="7:7">
      <c r="G247" s="19"/>
    </row>
    <row r="248" spans="7:7">
      <c r="G248" s="19"/>
    </row>
    <row r="249" spans="7:7">
      <c r="G249" s="19"/>
    </row>
    <row r="250" spans="7:7">
      <c r="G250" s="19"/>
    </row>
    <row r="251" spans="7:7">
      <c r="G251" s="19"/>
    </row>
    <row r="252" spans="7:7">
      <c r="G252" s="19"/>
    </row>
    <row r="253" spans="7:7">
      <c r="G253" s="19"/>
    </row>
    <row r="254" spans="7:7">
      <c r="G254" s="19"/>
    </row>
    <row r="255" spans="7:7">
      <c r="G255" s="19"/>
    </row>
    <row r="256" spans="7:7">
      <c r="G256" s="19"/>
    </row>
    <row r="257" spans="7:7">
      <c r="G257" s="19"/>
    </row>
    <row r="258" spans="7:7">
      <c r="G258" s="19"/>
    </row>
    <row r="259" spans="7:7">
      <c r="G259" s="19"/>
    </row>
    <row r="260" spans="7:7">
      <c r="G260" s="19"/>
    </row>
    <row r="261" spans="7:7">
      <c r="G261" s="19"/>
    </row>
    <row r="262" spans="7:7">
      <c r="G262" s="19"/>
    </row>
    <row r="263" spans="7:7">
      <c r="G263" s="19"/>
    </row>
    <row r="264" spans="7:7">
      <c r="G264" s="19"/>
    </row>
    <row r="265" spans="7:7">
      <c r="G265" s="19"/>
    </row>
    <row r="266" spans="7:7">
      <c r="G266" s="19"/>
    </row>
    <row r="267" spans="7:7">
      <c r="G267" s="19"/>
    </row>
    <row r="268" spans="7:7">
      <c r="G268" s="19"/>
    </row>
    <row r="269" spans="7:7">
      <c r="G269" s="19"/>
    </row>
    <row r="270" spans="7:7">
      <c r="G270" s="19"/>
    </row>
    <row r="271" spans="7:7">
      <c r="G271" s="19"/>
    </row>
    <row r="272" spans="7:7">
      <c r="G272" s="19"/>
    </row>
    <row r="273" spans="7:7">
      <c r="G273" s="19"/>
    </row>
    <row r="274" spans="7:7">
      <c r="G274" s="19"/>
    </row>
    <row r="275" spans="7:7">
      <c r="G275" s="19"/>
    </row>
    <row r="276" spans="7:7">
      <c r="G276" s="19"/>
    </row>
    <row r="277" spans="7:7">
      <c r="G277" s="19"/>
    </row>
    <row r="278" spans="7:7">
      <c r="G278" s="19"/>
    </row>
    <row r="279" spans="7:7">
      <c r="G279" s="19"/>
    </row>
    <row r="280" spans="7:7">
      <c r="G280" s="19"/>
    </row>
    <row r="281" spans="7:7">
      <c r="G281" s="19"/>
    </row>
    <row r="282" spans="7:7">
      <c r="G282" s="19"/>
    </row>
    <row r="283" spans="7:7">
      <c r="G283" s="19"/>
    </row>
    <row r="284" spans="7:7">
      <c r="G284" s="19"/>
    </row>
    <row r="285" spans="7:7">
      <c r="G285" s="19"/>
    </row>
    <row r="286" spans="7:7">
      <c r="G286" s="19"/>
    </row>
    <row r="287" spans="7:7">
      <c r="G287" s="19"/>
    </row>
    <row r="288" spans="7:7">
      <c r="G288" s="19"/>
    </row>
    <row r="289" spans="7:7">
      <c r="G289" s="19"/>
    </row>
    <row r="290" spans="7:7">
      <c r="G290" s="19"/>
    </row>
    <row r="291" spans="7:7">
      <c r="G291" s="19"/>
    </row>
    <row r="292" spans="7:7">
      <c r="G292" s="19"/>
    </row>
    <row r="293" spans="7:7">
      <c r="G293" s="19"/>
    </row>
    <row r="294" spans="7:7">
      <c r="G294" s="19"/>
    </row>
    <row r="295" spans="7:7">
      <c r="G295" s="19"/>
    </row>
    <row r="296" spans="7:7">
      <c r="G296" s="19"/>
    </row>
    <row r="297" spans="7:7">
      <c r="G297" s="19"/>
    </row>
    <row r="298" spans="7:7">
      <c r="G298" s="19"/>
    </row>
    <row r="299" spans="7:7">
      <c r="G299" s="19"/>
    </row>
    <row r="300" spans="7:7">
      <c r="G300" s="19"/>
    </row>
    <row r="301" spans="7:7">
      <c r="G301" s="19"/>
    </row>
    <row r="302" spans="7:7">
      <c r="G302" s="19"/>
    </row>
    <row r="303" spans="7:7">
      <c r="G303" s="19"/>
    </row>
    <row r="304" spans="7:7">
      <c r="G304" s="19"/>
    </row>
    <row r="305" spans="7:7">
      <c r="G305" s="19"/>
    </row>
    <row r="306" spans="7:7">
      <c r="G306" s="19"/>
    </row>
    <row r="307" spans="7:7">
      <c r="G307" s="19"/>
    </row>
    <row r="308" spans="7:7">
      <c r="G308" s="19"/>
    </row>
    <row r="309" spans="7:7">
      <c r="G309" s="19"/>
    </row>
    <row r="310" spans="7:7">
      <c r="G310" s="19"/>
    </row>
    <row r="311" spans="7:7">
      <c r="G311" s="19"/>
    </row>
    <row r="312" spans="7:7">
      <c r="G312" s="19"/>
    </row>
    <row r="313" spans="7:7">
      <c r="G313" s="19"/>
    </row>
    <row r="314" spans="7:7">
      <c r="G314" s="19"/>
    </row>
    <row r="315" spans="7:7">
      <c r="G315" s="19"/>
    </row>
    <row r="316" spans="7:7">
      <c r="G316" s="19"/>
    </row>
    <row r="317" spans="7:7">
      <c r="G317" s="19"/>
    </row>
    <row r="318" spans="7:7">
      <c r="G318" s="19"/>
    </row>
    <row r="319" spans="7:7">
      <c r="G319" s="19"/>
    </row>
    <row r="320" spans="7:7">
      <c r="G320" s="19"/>
    </row>
    <row r="321" spans="7:7">
      <c r="G321" s="19"/>
    </row>
    <row r="322" spans="7:7">
      <c r="G322" s="19"/>
    </row>
    <row r="323" spans="7:7">
      <c r="G323" s="19"/>
    </row>
    <row r="324" spans="7:7">
      <c r="G324" s="19"/>
    </row>
    <row r="325" spans="7:7">
      <c r="G325" s="19"/>
    </row>
    <row r="326" spans="7:7">
      <c r="G326" s="19"/>
    </row>
    <row r="327" spans="7:7">
      <c r="G327" s="19"/>
    </row>
    <row r="328" spans="7:7">
      <c r="G328" s="19"/>
    </row>
    <row r="329" spans="7:7">
      <c r="G329" s="19"/>
    </row>
    <row r="330" spans="7:7">
      <c r="G330" s="19"/>
    </row>
    <row r="331" spans="7:7">
      <c r="G331" s="19"/>
    </row>
    <row r="332" spans="7:7">
      <c r="G332" s="19"/>
    </row>
    <row r="333" spans="7:7">
      <c r="G333" s="19"/>
    </row>
    <row r="334" spans="7:7">
      <c r="G334" s="19"/>
    </row>
    <row r="335" spans="7:7">
      <c r="G335" s="19"/>
    </row>
    <row r="336" spans="7:7">
      <c r="G336" s="19"/>
    </row>
    <row r="337" spans="7:7">
      <c r="G337" s="19"/>
    </row>
    <row r="338" spans="7:7">
      <c r="G338" s="19"/>
    </row>
    <row r="339" spans="7:7">
      <c r="G339" s="19"/>
    </row>
    <row r="340" spans="7:7">
      <c r="G340" s="19"/>
    </row>
    <row r="341" spans="7:7">
      <c r="G341" s="19"/>
    </row>
    <row r="342" spans="7:7">
      <c r="G342" s="19"/>
    </row>
    <row r="343" spans="7:7">
      <c r="G343" s="19"/>
    </row>
    <row r="344" spans="7:7">
      <c r="G344" s="19"/>
    </row>
    <row r="345" spans="7:7">
      <c r="G345" s="19"/>
    </row>
    <row r="346" spans="7:7">
      <c r="G346" s="19"/>
    </row>
    <row r="347" spans="7:7">
      <c r="G347" s="19"/>
    </row>
    <row r="348" spans="7:7">
      <c r="G348" s="19"/>
    </row>
    <row r="349" spans="7:7">
      <c r="G349" s="19"/>
    </row>
    <row r="350" spans="7:7">
      <c r="G350" s="19"/>
    </row>
    <row r="351" spans="7:7">
      <c r="G351" s="19"/>
    </row>
    <row r="352" spans="7:7">
      <c r="G352" s="19"/>
    </row>
    <row r="353" spans="7:7">
      <c r="G353" s="19"/>
    </row>
    <row r="354" spans="7:7">
      <c r="G354" s="19"/>
    </row>
    <row r="355" spans="7:7">
      <c r="G355" s="19"/>
    </row>
    <row r="356" spans="7:7">
      <c r="G356" s="19"/>
    </row>
    <row r="357" spans="7:7">
      <c r="G357" s="19"/>
    </row>
    <row r="358" spans="7:7">
      <c r="G358" s="19"/>
    </row>
    <row r="359" spans="7:7">
      <c r="G359" s="19"/>
    </row>
    <row r="360" spans="7:7">
      <c r="G360" s="19"/>
    </row>
    <row r="361" spans="7:7">
      <c r="G361" s="19"/>
    </row>
    <row r="362" spans="7:7">
      <c r="G362" s="19"/>
    </row>
    <row r="363" spans="7:7">
      <c r="G363" s="19"/>
    </row>
    <row r="364" spans="7:7">
      <c r="G364" s="19"/>
    </row>
    <row r="365" spans="7:7">
      <c r="G365" s="19"/>
    </row>
    <row r="366" spans="7:7">
      <c r="G366" s="19"/>
    </row>
    <row r="367" spans="7:7">
      <c r="G367" s="19"/>
    </row>
    <row r="368" spans="7:7">
      <c r="G368" s="19"/>
    </row>
    <row r="369" spans="7:7">
      <c r="G369" s="19"/>
    </row>
    <row r="370" spans="7:7">
      <c r="G370" s="19"/>
    </row>
    <row r="371" spans="7:7">
      <c r="G371" s="19"/>
    </row>
    <row r="372" spans="7:7">
      <c r="G372" s="19"/>
    </row>
    <row r="373" spans="7:7">
      <c r="G373" s="19"/>
    </row>
    <row r="374" spans="7:7">
      <c r="G374" s="19"/>
    </row>
    <row r="375" spans="7:7">
      <c r="G375" s="19"/>
    </row>
    <row r="376" spans="7:7">
      <c r="G376" s="19"/>
    </row>
    <row r="377" spans="7:7">
      <c r="G377" s="19"/>
    </row>
    <row r="378" spans="7:7">
      <c r="G378" s="19"/>
    </row>
    <row r="379" spans="7:7">
      <c r="G379" s="19"/>
    </row>
    <row r="380" spans="7:7">
      <c r="G380" s="19"/>
    </row>
    <row r="381" spans="7:7">
      <c r="G381" s="19"/>
    </row>
    <row r="382" spans="7:7">
      <c r="G382" s="19"/>
    </row>
    <row r="383" spans="7:7">
      <c r="G383" s="19"/>
    </row>
    <row r="384" spans="7:7">
      <c r="G384" s="19"/>
    </row>
    <row r="385" spans="7:7">
      <c r="G385" s="19"/>
    </row>
    <row r="386" spans="7:7">
      <c r="G386" s="19"/>
    </row>
    <row r="387" spans="7:7">
      <c r="G387" s="19"/>
    </row>
    <row r="388" spans="7:7">
      <c r="G388" s="19"/>
    </row>
    <row r="389" spans="7:7">
      <c r="G389" s="19"/>
    </row>
    <row r="390" spans="7:7">
      <c r="G390" s="19"/>
    </row>
    <row r="391" spans="7:7">
      <c r="G391" s="19"/>
    </row>
    <row r="392" spans="7:7">
      <c r="G392" s="19"/>
    </row>
    <row r="393" spans="7:7">
      <c r="G393" s="19"/>
    </row>
    <row r="394" spans="7:7">
      <c r="G394" s="19"/>
    </row>
    <row r="395" spans="7:7">
      <c r="G395" s="19"/>
    </row>
    <row r="396" spans="7:7">
      <c r="G396" s="19"/>
    </row>
    <row r="397" spans="7:7">
      <c r="G397" s="19"/>
    </row>
    <row r="398" spans="7:7">
      <c r="G398" s="19"/>
    </row>
    <row r="399" spans="7:7">
      <c r="G399" s="19"/>
    </row>
    <row r="400" spans="7:7">
      <c r="G400" s="19"/>
    </row>
    <row r="401" spans="7:7">
      <c r="G401" s="19"/>
    </row>
    <row r="402" spans="7:7">
      <c r="G402" s="19"/>
    </row>
    <row r="403" spans="7:7">
      <c r="G403" s="19"/>
    </row>
    <row r="404" spans="7:7">
      <c r="G404" s="19"/>
    </row>
    <row r="405" spans="7:7">
      <c r="G405" s="19"/>
    </row>
    <row r="406" spans="7:7">
      <c r="G406" s="19"/>
    </row>
    <row r="407" spans="7:7">
      <c r="G407" s="19"/>
    </row>
    <row r="408" spans="7:7">
      <c r="G408" s="19"/>
    </row>
    <row r="409" spans="7:7">
      <c r="G409" s="19"/>
    </row>
    <row r="410" spans="7:7">
      <c r="G410" s="19"/>
    </row>
    <row r="411" spans="7:7">
      <c r="G411" s="19"/>
    </row>
    <row r="412" spans="7:7">
      <c r="G412" s="19"/>
    </row>
    <row r="413" spans="7:7">
      <c r="G413" s="19"/>
    </row>
    <row r="414" spans="7:7">
      <c r="G414" s="19"/>
    </row>
    <row r="415" spans="7:7">
      <c r="G415" s="19"/>
    </row>
    <row r="416" spans="7:7">
      <c r="G416" s="19"/>
    </row>
    <row r="417" spans="7:7">
      <c r="G417" s="19"/>
    </row>
    <row r="418" spans="7:7">
      <c r="G418" s="19"/>
    </row>
    <row r="419" spans="7:7">
      <c r="G419" s="19"/>
    </row>
    <row r="420" spans="7:7">
      <c r="G420" s="19"/>
    </row>
    <row r="421" spans="7:7">
      <c r="G421" s="19"/>
    </row>
    <row r="422" spans="7:7">
      <c r="G422" s="19"/>
    </row>
    <row r="423" spans="7:7">
      <c r="G423" s="19"/>
    </row>
    <row r="424" spans="7:7">
      <c r="G424" s="19"/>
    </row>
    <row r="425" spans="7:7">
      <c r="G425" s="19"/>
    </row>
    <row r="426" spans="7:7">
      <c r="G426" s="19"/>
    </row>
    <row r="427" spans="7:7">
      <c r="G427" s="19"/>
    </row>
    <row r="428" spans="7:7">
      <c r="G428" s="19"/>
    </row>
    <row r="429" spans="7:7">
      <c r="G429" s="19"/>
    </row>
    <row r="430" spans="7:7">
      <c r="G430" s="19"/>
    </row>
    <row r="431" spans="7:7">
      <c r="G431" s="19"/>
    </row>
    <row r="432" spans="7:7">
      <c r="G432" s="19"/>
    </row>
    <row r="433" spans="7:7">
      <c r="G433" s="19"/>
    </row>
    <row r="434" spans="7:7">
      <c r="G434" s="19"/>
    </row>
    <row r="435" spans="7:7">
      <c r="G435" s="19"/>
    </row>
    <row r="436" spans="7:7">
      <c r="G436" s="19"/>
    </row>
    <row r="437" spans="7:7">
      <c r="G437" s="19"/>
    </row>
    <row r="438" spans="7:7">
      <c r="G438" s="19"/>
    </row>
    <row r="439" spans="7:7">
      <c r="G439" s="19"/>
    </row>
    <row r="440" spans="7:7">
      <c r="G440" s="19"/>
    </row>
    <row r="441" spans="7:7">
      <c r="G441" s="19"/>
    </row>
    <row r="442" spans="7:7">
      <c r="G442" s="19"/>
    </row>
    <row r="443" spans="7:7">
      <c r="G443" s="19"/>
    </row>
    <row r="444" spans="7:7">
      <c r="G444" s="19"/>
    </row>
    <row r="445" spans="7:7">
      <c r="G445" s="19"/>
    </row>
    <row r="446" spans="7:7">
      <c r="G446" s="19"/>
    </row>
    <row r="447" spans="7:7">
      <c r="G447" s="19"/>
    </row>
    <row r="448" spans="7:7">
      <c r="G448" s="19"/>
    </row>
    <row r="449" spans="7:7">
      <c r="G449" s="19"/>
    </row>
    <row r="450" spans="7:7">
      <c r="G450" s="19"/>
    </row>
    <row r="451" spans="7:7">
      <c r="G451" s="19"/>
    </row>
    <row r="452" spans="7:7">
      <c r="G452" s="19"/>
    </row>
    <row r="453" spans="7:7">
      <c r="G453" s="19"/>
    </row>
    <row r="454" spans="7:7">
      <c r="G454" s="19"/>
    </row>
    <row r="455" spans="7:7">
      <c r="G455" s="19"/>
    </row>
    <row r="456" spans="7:7">
      <c r="G456" s="19"/>
    </row>
    <row r="457" spans="7:7">
      <c r="G457" s="19"/>
    </row>
    <row r="458" spans="7:7">
      <c r="G458" s="19"/>
    </row>
    <row r="459" spans="7:7">
      <c r="G459" s="19"/>
    </row>
    <row r="460" spans="7:7">
      <c r="G460" s="19"/>
    </row>
    <row r="461" spans="7:7">
      <c r="G461" s="19"/>
    </row>
    <row r="462" spans="7:7">
      <c r="G462" s="19"/>
    </row>
    <row r="463" spans="7:7">
      <c r="G463" s="19"/>
    </row>
    <row r="464" spans="7:7">
      <c r="G464" s="19"/>
    </row>
    <row r="465" spans="7:7">
      <c r="G465" s="19"/>
    </row>
    <row r="466" spans="7:7">
      <c r="G466" s="19"/>
    </row>
    <row r="467" spans="7:7">
      <c r="G467" s="19"/>
    </row>
    <row r="468" spans="7:7">
      <c r="G468" s="19"/>
    </row>
    <row r="469" spans="7:7">
      <c r="G469" s="19"/>
    </row>
    <row r="470" spans="7:7">
      <c r="G470" s="19"/>
    </row>
    <row r="471" spans="7:7">
      <c r="G471" s="19"/>
    </row>
    <row r="472" spans="7:7">
      <c r="G472" s="19"/>
    </row>
    <row r="473" spans="7:7">
      <c r="G473" s="19"/>
    </row>
    <row r="474" spans="7:7">
      <c r="G474" s="19"/>
    </row>
    <row r="475" spans="7:7">
      <c r="G475" s="19"/>
    </row>
    <row r="476" spans="7:7">
      <c r="G476" s="19"/>
    </row>
    <row r="477" spans="7:7">
      <c r="G477" s="19"/>
    </row>
    <row r="478" spans="7:7">
      <c r="G478" s="19"/>
    </row>
    <row r="479" spans="7:7">
      <c r="G479" s="19"/>
    </row>
    <row r="480" spans="7:7">
      <c r="G480" s="19"/>
    </row>
    <row r="481" spans="7:7">
      <c r="G481" s="19"/>
    </row>
    <row r="482" spans="7:7">
      <c r="G482" s="19"/>
    </row>
    <row r="483" spans="7:7">
      <c r="G483" s="19"/>
    </row>
    <row r="484" spans="7:7">
      <c r="G484" s="19"/>
    </row>
    <row r="485" spans="7:7">
      <c r="G485" s="19"/>
    </row>
    <row r="486" spans="7:7">
      <c r="G486" s="19"/>
    </row>
    <row r="487" spans="7:7">
      <c r="G487" s="19"/>
    </row>
    <row r="488" spans="7:7">
      <c r="G488" s="19"/>
    </row>
    <row r="489" spans="7:7">
      <c r="G489" s="19"/>
    </row>
    <row r="490" spans="7:7">
      <c r="G490" s="19"/>
    </row>
    <row r="491" spans="7:7">
      <c r="G491" s="19"/>
    </row>
    <row r="492" spans="7:7">
      <c r="G492" s="19"/>
    </row>
    <row r="493" spans="7:7">
      <c r="G493" s="19"/>
    </row>
    <row r="494" spans="7:7">
      <c r="G494" s="19"/>
    </row>
    <row r="495" spans="7:7">
      <c r="G495" s="19"/>
    </row>
    <row r="496" spans="7:7">
      <c r="G496" s="19"/>
    </row>
    <row r="497" spans="7:7">
      <c r="G497" s="19"/>
    </row>
    <row r="498" spans="7:7">
      <c r="G498" s="19"/>
    </row>
    <row r="499" spans="7:7">
      <c r="G499" s="19"/>
    </row>
    <row r="500" spans="7:7">
      <c r="G500" s="19"/>
    </row>
    <row r="501" spans="7:7">
      <c r="G501" s="19"/>
    </row>
    <row r="502" spans="7:7">
      <c r="G502" s="19"/>
    </row>
    <row r="503" spans="7:7">
      <c r="G503" s="19"/>
    </row>
    <row r="504" spans="7:7">
      <c r="G504" s="19"/>
    </row>
    <row r="505" spans="7:7">
      <c r="G505" s="19"/>
    </row>
    <row r="506" spans="7:7">
      <c r="G506" s="19"/>
    </row>
    <row r="507" spans="7:7">
      <c r="G507" s="19"/>
    </row>
    <row r="508" spans="7:7">
      <c r="G508" s="19"/>
    </row>
    <row r="509" spans="7:7">
      <c r="G509" s="19"/>
    </row>
    <row r="510" spans="7:7">
      <c r="G510" s="19"/>
    </row>
    <row r="511" spans="7:7">
      <c r="G511" s="19"/>
    </row>
    <row r="512" spans="7:7">
      <c r="G512" s="19"/>
    </row>
    <row r="513" spans="7:7">
      <c r="G513" s="19"/>
    </row>
    <row r="514" spans="7:7">
      <c r="G514" s="19"/>
    </row>
    <row r="515" spans="7:7">
      <c r="G515" s="19"/>
    </row>
    <row r="516" spans="7:7">
      <c r="G516" s="19"/>
    </row>
    <row r="517" spans="7:7">
      <c r="G517" s="19"/>
    </row>
    <row r="518" spans="7:7">
      <c r="G518" s="19"/>
    </row>
    <row r="519" spans="7:7">
      <c r="G519" s="19"/>
    </row>
    <row r="520" spans="7:7">
      <c r="G520" s="19"/>
    </row>
    <row r="521" spans="7:7">
      <c r="G521" s="19"/>
    </row>
    <row r="522" spans="7:7">
      <c r="G522" s="19"/>
    </row>
    <row r="523" spans="7:7">
      <c r="G523" s="19"/>
    </row>
    <row r="524" spans="7:7">
      <c r="G524" s="19"/>
    </row>
    <row r="525" spans="7:7">
      <c r="G525" s="19"/>
    </row>
    <row r="526" spans="7:7">
      <c r="G526" s="19"/>
    </row>
    <row r="527" spans="7:7">
      <c r="G527" s="19"/>
    </row>
    <row r="528" spans="7:7">
      <c r="G528" s="19"/>
    </row>
    <row r="529" spans="7:7">
      <c r="G529" s="19"/>
    </row>
    <row r="530" spans="7:7">
      <c r="G530" s="19"/>
    </row>
    <row r="531" spans="7:7">
      <c r="G531" s="19"/>
    </row>
    <row r="532" spans="7:7">
      <c r="G532" s="19"/>
    </row>
    <row r="533" spans="7:7">
      <c r="G533" s="19"/>
    </row>
  </sheetData>
  <phoneticPr fontId="1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385AC-CB0F-4BA8-8EE3-469B74556204}">
  <sheetPr codeName="Sheet7"/>
  <dimension ref="A1:I24"/>
  <sheetViews>
    <sheetView tabSelected="1" zoomScale="175" zoomScaleNormal="175" workbookViewId="0">
      <selection activeCell="D37" sqref="D37"/>
    </sheetView>
  </sheetViews>
  <sheetFormatPr defaultColWidth="8.85546875" defaultRowHeight="12.75"/>
  <cols>
    <col min="1" max="1" width="21.140625" style="1" customWidth="1"/>
    <col min="2" max="2" width="9.7109375" customWidth="1"/>
    <col min="3" max="3" width="9.5703125" customWidth="1"/>
    <col min="4" max="4" width="27" bestFit="1" customWidth="1"/>
    <col min="8" max="8" width="13.42578125" customWidth="1"/>
    <col min="9" max="9" width="19.42578125" customWidth="1"/>
  </cols>
  <sheetData>
    <row r="1" spans="1:9" s="1" customFormat="1">
      <c r="A1" s="119" t="s">
        <v>123</v>
      </c>
      <c r="B1" s="119"/>
      <c r="C1" s="119"/>
      <c r="D1" s="120" t="s">
        <v>124</v>
      </c>
      <c r="E1" s="120"/>
      <c r="F1" s="120"/>
      <c r="G1" s="123" t="s">
        <v>125</v>
      </c>
      <c r="H1" s="124"/>
      <c r="I1" s="125"/>
    </row>
    <row r="2" spans="1:9">
      <c r="A2" s="113"/>
      <c r="B2" s="113" t="s">
        <v>122</v>
      </c>
      <c r="C2" s="126" t="s">
        <v>121</v>
      </c>
      <c r="D2" s="113"/>
      <c r="E2" s="113" t="s">
        <v>122</v>
      </c>
      <c r="F2" s="129" t="s">
        <v>121</v>
      </c>
      <c r="G2" s="121"/>
      <c r="H2" s="122"/>
      <c r="I2" s="126" t="s">
        <v>10</v>
      </c>
    </row>
    <row r="3" spans="1:9">
      <c r="A3" s="113" t="s">
        <v>17</v>
      </c>
      <c r="B3" s="114">
        <f>'Q2'!B36</f>
        <v>9.4490881183598011E-4</v>
      </c>
      <c r="C3" s="127">
        <f>'Q3-Investment Grade'!B2</f>
        <v>9.6705697769803147E-4</v>
      </c>
      <c r="D3" s="113" t="s">
        <v>17</v>
      </c>
      <c r="E3" s="114">
        <f>'Q2'!B37</f>
        <v>4.5791567410076117E-2</v>
      </c>
      <c r="F3" s="130">
        <f>'Q3-Speculative'!B2</f>
        <v>3.5374947114553329E-2</v>
      </c>
      <c r="G3" s="121" t="s">
        <v>17</v>
      </c>
      <c r="H3" s="122"/>
      <c r="I3" s="126">
        <f>D13</f>
        <v>9.2805425157496755E-4</v>
      </c>
    </row>
    <row r="4" spans="1:9">
      <c r="A4" s="113" t="s">
        <v>19</v>
      </c>
      <c r="B4" s="114">
        <f>B5^0.5</f>
        <v>0.26806715576511791</v>
      </c>
      <c r="C4" s="128">
        <f>'Q3-Investment Grade'!B3</f>
        <v>0.401066426167699</v>
      </c>
      <c r="D4" s="113" t="s">
        <v>19</v>
      </c>
      <c r="E4" s="114">
        <f>E5^0.5</f>
        <v>0.17866686212563554</v>
      </c>
      <c r="F4" s="131">
        <f>'Q3-Speculative'!B3</f>
        <v>0.25389699187778803</v>
      </c>
      <c r="G4" s="121" t="s">
        <v>19</v>
      </c>
      <c r="H4" s="122"/>
      <c r="I4" s="126">
        <f t="shared" ref="I4:I5" si="0">D14</f>
        <v>0.11846562033022111</v>
      </c>
    </row>
    <row r="5" spans="1:9">
      <c r="A5" s="113" t="s">
        <v>18</v>
      </c>
      <c r="B5" s="114">
        <f>'Q2'!B42</f>
        <v>7.1859999999999993E-2</v>
      </c>
      <c r="C5" s="127">
        <f>C4^2</f>
        <v>0.16085427819893036</v>
      </c>
      <c r="D5" s="113" t="s">
        <v>18</v>
      </c>
      <c r="E5" s="114">
        <f>'Q2'!B43</f>
        <v>3.1921847621820855E-2</v>
      </c>
      <c r="F5" s="130">
        <f>F4^2</f>
        <v>6.4463682484589557E-2</v>
      </c>
      <c r="G5" s="121" t="s">
        <v>18</v>
      </c>
      <c r="H5" s="122"/>
      <c r="I5" s="126">
        <f t="shared" si="0"/>
        <v>1.4034103200224097E-2</v>
      </c>
    </row>
    <row r="6" spans="1:9">
      <c r="B6" s="23"/>
      <c r="C6" s="24"/>
    </row>
    <row r="12" spans="1:9">
      <c r="A12" s="115"/>
      <c r="B12" s="116" t="s">
        <v>16</v>
      </c>
      <c r="C12" s="116" t="s">
        <v>10</v>
      </c>
      <c r="D12" s="116" t="s">
        <v>21</v>
      </c>
    </row>
    <row r="13" spans="1:9">
      <c r="A13" s="117" t="s">
        <v>126</v>
      </c>
      <c r="B13" s="25">
        <f>B3</f>
        <v>9.4490881183598011E-4</v>
      </c>
      <c r="C13" s="25">
        <f>C3</f>
        <v>9.6705697769803147E-4</v>
      </c>
      <c r="D13" s="25">
        <f>'Q3-Combined'!B2</f>
        <v>9.2805425157496755E-4</v>
      </c>
    </row>
    <row r="14" spans="1:9">
      <c r="A14" s="117" t="s">
        <v>19</v>
      </c>
      <c r="B14" s="25">
        <f>B4</f>
        <v>0.26806715576511791</v>
      </c>
      <c r="C14" s="25">
        <f>C4</f>
        <v>0.401066426167699</v>
      </c>
      <c r="D14" s="25">
        <f>'Q3-Combined'!E2</f>
        <v>0.11846562033022111</v>
      </c>
    </row>
    <row r="15" spans="1:9">
      <c r="A15" s="117" t="s">
        <v>18</v>
      </c>
      <c r="B15" s="25">
        <f>B5</f>
        <v>7.1859999999999993E-2</v>
      </c>
      <c r="C15" s="25">
        <f>C5</f>
        <v>0.16085427819893036</v>
      </c>
      <c r="D15" s="25">
        <f>D14^2</f>
        <v>1.4034103200224097E-2</v>
      </c>
    </row>
    <row r="17" spans="2:4">
      <c r="D17" s="1"/>
    </row>
    <row r="18" spans="2:4">
      <c r="B18" s="19"/>
      <c r="D18" s="22"/>
    </row>
    <row r="19" spans="2:4">
      <c r="B19" s="19"/>
    </row>
    <row r="20" spans="2:4">
      <c r="B20" s="19"/>
      <c r="D20" s="22"/>
    </row>
    <row r="21" spans="2:4">
      <c r="B21" s="8"/>
    </row>
    <row r="24" spans="2:4">
      <c r="B24" s="8"/>
    </row>
  </sheetData>
  <mergeCells count="7">
    <mergeCell ref="G5:H5"/>
    <mergeCell ref="G2:H2"/>
    <mergeCell ref="A1:C1"/>
    <mergeCell ref="D1:F1"/>
    <mergeCell ref="G1:I1"/>
    <mergeCell ref="G3:H3"/>
    <mergeCell ref="G4:H4"/>
  </mergeCells>
  <phoneticPr fontId="1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28922-3DB4-48C4-A784-5750A89CB98A}">
  <sheetPr codeName="Sheet5"/>
  <dimension ref="A1:P39"/>
  <sheetViews>
    <sheetView workbookViewId="0">
      <selection activeCell="G67" sqref="G67"/>
    </sheetView>
  </sheetViews>
  <sheetFormatPr defaultColWidth="11.42578125" defaultRowHeight="12.75"/>
  <cols>
    <col min="1" max="1" width="12.7109375" customWidth="1"/>
    <col min="2" max="2" width="16.7109375" customWidth="1"/>
    <col min="3" max="3" width="20.42578125" customWidth="1"/>
    <col min="4" max="4" width="5.140625" customWidth="1"/>
    <col min="6" max="6" width="7.5703125" customWidth="1"/>
    <col min="7" max="7" width="13.85546875" customWidth="1"/>
    <col min="8" max="8" width="19.28515625" customWidth="1"/>
    <col min="9" max="9" width="16.7109375" bestFit="1" customWidth="1"/>
  </cols>
  <sheetData>
    <row r="1" spans="1:16" ht="15">
      <c r="A1" s="101" t="s">
        <v>5</v>
      </c>
      <c r="B1" s="101" t="s">
        <v>35</v>
      </c>
      <c r="C1" s="101" t="s">
        <v>113</v>
      </c>
      <c r="E1" s="101" t="s">
        <v>39</v>
      </c>
      <c r="J1" s="1"/>
    </row>
    <row r="2" spans="1:16">
      <c r="A2" s="31">
        <v>7.125813909830728</v>
      </c>
      <c r="B2" s="31">
        <v>0.82456652306565348</v>
      </c>
      <c r="C2" s="36">
        <f>NORMDIST(A2,0,1,0)*B2</f>
        <v>3.0974313976850067E-12</v>
      </c>
      <c r="E2" s="32">
        <f>EXP(A2)</f>
        <v>1243.6599823216379</v>
      </c>
      <c r="H2" s="39"/>
      <c r="I2" s="35"/>
      <c r="K2" s="34"/>
    </row>
    <row r="3" spans="1:16">
      <c r="A3" s="31">
        <v>6.4094981492696608</v>
      </c>
      <c r="B3" s="31">
        <v>0.64095048591382653</v>
      </c>
      <c r="C3" s="36">
        <f t="shared" ref="C3:C33" si="0">NORMDIST(A3,0,1,0)*B3</f>
        <v>3.0687676494147174E-10</v>
      </c>
      <c r="E3" s="32">
        <f t="shared" ref="E3:E33" si="1">EXP(A3)</f>
        <v>607.58868571113544</v>
      </c>
      <c r="K3" s="34"/>
    </row>
    <row r="4" spans="1:16" ht="13.15" customHeight="1">
      <c r="A4" s="31">
        <v>5.8122259495159136</v>
      </c>
      <c r="B4" s="31">
        <v>0.56174901464976601</v>
      </c>
      <c r="C4" s="36">
        <f t="shared" si="0"/>
        <v>1.0346434189931966E-8</v>
      </c>
      <c r="E4" s="32">
        <f t="shared" si="1"/>
        <v>334.36257213603596</v>
      </c>
      <c r="I4" s="103" t="s">
        <v>114</v>
      </c>
      <c r="J4" s="103"/>
      <c r="K4" s="103"/>
      <c r="L4" s="103"/>
      <c r="M4" s="103"/>
      <c r="N4" s="103"/>
      <c r="O4" s="103"/>
      <c r="P4" s="104"/>
    </row>
    <row r="5" spans="1:16">
      <c r="A5" s="31">
        <v>5.2755509865158805</v>
      </c>
      <c r="B5" s="31">
        <v>0.51503728466714538</v>
      </c>
      <c r="C5" s="36">
        <f t="shared" si="0"/>
        <v>1.8587831042048585E-7</v>
      </c>
      <c r="E5" s="32">
        <f t="shared" si="1"/>
        <v>195.49816369480908</v>
      </c>
      <c r="I5" s="103"/>
      <c r="J5" s="103"/>
      <c r="K5" s="103"/>
      <c r="L5" s="103"/>
      <c r="M5" s="103"/>
      <c r="N5" s="103"/>
      <c r="O5" s="103"/>
      <c r="P5" s="104"/>
    </row>
    <row r="6" spans="1:16">
      <c r="A6" s="31">
        <v>4.777164503502596</v>
      </c>
      <c r="B6" s="31">
        <v>0.48357144073610903</v>
      </c>
      <c r="C6" s="36">
        <f t="shared" si="0"/>
        <v>2.1369198300785822E-6</v>
      </c>
      <c r="E6" s="32">
        <f t="shared" si="1"/>
        <v>118.76710842710209</v>
      </c>
      <c r="G6" s="1" t="s">
        <v>38</v>
      </c>
      <c r="I6" s="103"/>
      <c r="J6" s="103"/>
      <c r="K6" s="103"/>
      <c r="L6" s="103"/>
      <c r="M6" s="103"/>
      <c r="N6" s="103"/>
      <c r="O6" s="103"/>
      <c r="P6" s="104"/>
    </row>
    <row r="7" spans="1:16">
      <c r="A7" s="31">
        <v>4.3055479533511987</v>
      </c>
      <c r="B7" s="31">
        <v>0.46078645569094773</v>
      </c>
      <c r="C7" s="36">
        <f t="shared" si="0"/>
        <v>1.7337640204613515E-5</v>
      </c>
      <c r="E7" s="32">
        <f t="shared" si="1"/>
        <v>74.109813049455383</v>
      </c>
      <c r="G7" s="1" t="s">
        <v>37</v>
      </c>
      <c r="H7" s="34">
        <f>EXP(0+1^2/2)</f>
        <v>1.6487212707001282</v>
      </c>
      <c r="I7" s="103"/>
      <c r="J7" s="103"/>
      <c r="K7" s="103"/>
      <c r="L7" s="103"/>
      <c r="M7" s="103"/>
      <c r="N7" s="103"/>
      <c r="O7" s="103"/>
      <c r="P7" s="104"/>
    </row>
    <row r="8" spans="1:16">
      <c r="A8" s="31">
        <v>3.8537554854714444</v>
      </c>
      <c r="B8" s="31">
        <v>0.44355318550140838</v>
      </c>
      <c r="C8" s="36">
        <f t="shared" si="0"/>
        <v>1.0541646007925858E-4</v>
      </c>
      <c r="E8" s="32">
        <f t="shared" si="1"/>
        <v>47.169876800388565</v>
      </c>
      <c r="G8" s="1" t="s">
        <v>36</v>
      </c>
      <c r="H8" s="34">
        <f>SUMPRODUCT(E2:E33,C2:C33)</f>
        <v>1.6487212706984666</v>
      </c>
      <c r="I8" s="103"/>
      <c r="J8" s="103"/>
      <c r="K8" s="103"/>
      <c r="L8" s="103"/>
      <c r="M8" s="103"/>
      <c r="N8" s="103"/>
      <c r="O8" s="103"/>
      <c r="P8" s="104"/>
    </row>
    <row r="9" spans="1:16">
      <c r="A9" s="31">
        <v>3.4171674928185709</v>
      </c>
      <c r="B9" s="31">
        <v>0.43016371088061306</v>
      </c>
      <c r="C9" s="36">
        <f t="shared" si="0"/>
        <v>4.9992883985248157E-4</v>
      </c>
      <c r="E9" s="32">
        <f t="shared" si="1"/>
        <v>30.482949448458786</v>
      </c>
      <c r="I9" s="103"/>
      <c r="J9" s="103"/>
      <c r="K9" s="103"/>
      <c r="L9" s="103"/>
      <c r="M9" s="103"/>
      <c r="N9" s="103"/>
      <c r="O9" s="103"/>
      <c r="P9" s="104"/>
    </row>
    <row r="10" spans="1:16">
      <c r="A10" s="31">
        <v>2.9924908250023741</v>
      </c>
      <c r="B10" s="31">
        <v>0.41959775308115099</v>
      </c>
      <c r="C10" s="36">
        <f t="shared" si="0"/>
        <v>1.9019074802430675E-3</v>
      </c>
      <c r="E10" s="32">
        <f t="shared" si="1"/>
        <v>19.935275985420517</v>
      </c>
      <c r="G10" s="93" t="s">
        <v>40</v>
      </c>
      <c r="H10" s="93"/>
      <c r="I10" s="104"/>
      <c r="J10" s="104"/>
      <c r="K10" s="104"/>
      <c r="L10" s="104"/>
      <c r="M10" s="104"/>
      <c r="N10" s="104"/>
      <c r="O10" s="104"/>
      <c r="P10" s="104"/>
    </row>
    <row r="11" spans="1:16">
      <c r="A11" s="31">
        <v>2.5772495377323175</v>
      </c>
      <c r="B11" s="31">
        <v>0.41120612871231049</v>
      </c>
      <c r="C11" s="36">
        <f t="shared" si="0"/>
        <v>5.9242168164729096E-3</v>
      </c>
      <c r="E11" s="32">
        <f t="shared" si="1"/>
        <v>13.160889801830754</v>
      </c>
      <c r="G11" s="93" t="s">
        <v>41</v>
      </c>
      <c r="H11" s="93"/>
      <c r="I11" s="103" t="s">
        <v>115</v>
      </c>
      <c r="J11" s="105"/>
      <c r="K11" s="105"/>
      <c r="L11" s="105"/>
      <c r="M11" s="105"/>
      <c r="N11" s="105"/>
      <c r="O11" s="105"/>
      <c r="P11" s="104"/>
    </row>
    <row r="12" spans="1:16">
      <c r="A12" s="31">
        <v>2.1694991836061122</v>
      </c>
      <c r="B12" s="31">
        <v>0.40455706179660555</v>
      </c>
      <c r="C12" s="36">
        <f t="shared" si="0"/>
        <v>1.5340415889209395E-2</v>
      </c>
      <c r="E12" s="32">
        <f t="shared" si="1"/>
        <v>8.7538988466910972</v>
      </c>
      <c r="I12" s="105"/>
      <c r="J12" s="105"/>
      <c r="K12" s="105"/>
      <c r="L12" s="105"/>
      <c r="M12" s="105"/>
      <c r="N12" s="105"/>
      <c r="O12" s="105"/>
      <c r="P12" s="104"/>
    </row>
    <row r="13" spans="1:16">
      <c r="A13" s="31">
        <v>1.7676541094632017</v>
      </c>
      <c r="B13" s="31">
        <v>0.39935484461844867</v>
      </c>
      <c r="C13" s="36">
        <f t="shared" si="0"/>
        <v>3.3401850344814077E-2</v>
      </c>
      <c r="E13" s="32">
        <f t="shared" si="1"/>
        <v>5.8570971236617613</v>
      </c>
      <c r="I13" s="105"/>
      <c r="J13" s="105"/>
      <c r="K13" s="105"/>
      <c r="L13" s="105"/>
      <c r="M13" s="105"/>
      <c r="N13" s="105"/>
      <c r="O13" s="105"/>
      <c r="P13" s="104"/>
    </row>
    <row r="14" spans="1:16">
      <c r="A14" s="31">
        <v>1.3703764109528718</v>
      </c>
      <c r="B14" s="31">
        <v>0.39539393939617123</v>
      </c>
      <c r="C14" s="36">
        <f t="shared" si="0"/>
        <v>6.1681145194339079E-2</v>
      </c>
      <c r="E14" s="32">
        <f t="shared" si="1"/>
        <v>3.9368322834011087</v>
      </c>
      <c r="I14" s="105"/>
      <c r="J14" s="105"/>
      <c r="K14" s="105"/>
      <c r="L14" s="105"/>
      <c r="M14" s="105"/>
      <c r="N14" s="105"/>
      <c r="O14" s="105"/>
      <c r="P14" s="104"/>
    </row>
    <row r="15" spans="1:16">
      <c r="A15" s="31">
        <v>0.97650046358968279</v>
      </c>
      <c r="B15" s="31">
        <v>0.39253186436581899</v>
      </c>
      <c r="C15" s="36">
        <f t="shared" si="0"/>
        <v>9.7212821006291264E-2</v>
      </c>
      <c r="E15" s="32">
        <f t="shared" si="1"/>
        <v>2.6551481767530496</v>
      </c>
      <c r="I15" s="104"/>
      <c r="J15" s="104"/>
      <c r="K15" s="104"/>
      <c r="L15" s="104"/>
      <c r="M15" s="104"/>
      <c r="N15" s="104"/>
      <c r="O15" s="104"/>
      <c r="P15" s="104"/>
    </row>
    <row r="16" spans="1:16">
      <c r="A16" s="31">
        <v>0.58497876543593241</v>
      </c>
      <c r="B16" s="31">
        <v>0.39067274462854257</v>
      </c>
      <c r="C16" s="36">
        <f t="shared" si="0"/>
        <v>0.13134554887729721</v>
      </c>
      <c r="E16" s="32">
        <f t="shared" si="1"/>
        <v>1.7949528701934987</v>
      </c>
      <c r="K16" s="34"/>
    </row>
    <row r="17" spans="1:14">
      <c r="A17" s="31">
        <v>0.19484074156939934</v>
      </c>
      <c r="B17" s="31">
        <v>0.38975734202743861</v>
      </c>
      <c r="C17" s="36">
        <f t="shared" si="0"/>
        <v>0.15256707799664648</v>
      </c>
      <c r="E17" s="32">
        <f t="shared" si="1"/>
        <v>1.2151174533806293</v>
      </c>
      <c r="G17" s="106" t="s">
        <v>116</v>
      </c>
      <c r="H17" s="93"/>
      <c r="K17" s="34"/>
    </row>
    <row r="18" spans="1:14">
      <c r="A18" s="31">
        <v>-0.19484074156939934</v>
      </c>
      <c r="B18" s="31">
        <v>0.38975734202743861</v>
      </c>
      <c r="C18" s="36">
        <f t="shared" si="0"/>
        <v>0.15256707799664648</v>
      </c>
      <c r="E18" s="32">
        <f t="shared" si="1"/>
        <v>0.82296571184773781</v>
      </c>
      <c r="K18" s="34"/>
    </row>
    <row r="19" spans="1:14">
      <c r="A19" s="31">
        <v>-0.58497876543593241</v>
      </c>
      <c r="B19" s="31">
        <v>0.39067274462854257</v>
      </c>
      <c r="C19" s="36">
        <f t="shared" si="0"/>
        <v>0.13134554887729721</v>
      </c>
      <c r="E19" s="32">
        <f t="shared" si="1"/>
        <v>0.55711769183789128</v>
      </c>
      <c r="K19" s="34"/>
    </row>
    <row r="20" spans="1:14">
      <c r="A20" s="31">
        <v>-0.97650046358968279</v>
      </c>
      <c r="B20" s="31">
        <v>0.39253186436581899</v>
      </c>
      <c r="C20" s="36">
        <f t="shared" si="0"/>
        <v>9.7212821006291264E-2</v>
      </c>
      <c r="E20" s="32">
        <f t="shared" si="1"/>
        <v>0.37662681456177283</v>
      </c>
      <c r="K20" s="34"/>
    </row>
    <row r="21" spans="1:14">
      <c r="A21" s="31">
        <v>-1.3703764109528718</v>
      </c>
      <c r="B21" s="31">
        <v>0.39539393939617123</v>
      </c>
      <c r="C21" s="36">
        <f t="shared" si="0"/>
        <v>6.1681145194339079E-2</v>
      </c>
      <c r="E21" s="32">
        <f t="shared" si="1"/>
        <v>0.25401132890936362</v>
      </c>
      <c r="F21" s="30"/>
      <c r="G21" s="30"/>
      <c r="K21" s="34"/>
    </row>
    <row r="22" spans="1:14">
      <c r="A22" s="31">
        <v>-1.7676541094632017</v>
      </c>
      <c r="B22" s="31">
        <v>0.39935484461844867</v>
      </c>
      <c r="C22" s="36">
        <f t="shared" si="0"/>
        <v>3.3401850344814077E-2</v>
      </c>
      <c r="E22" s="32">
        <f t="shared" si="1"/>
        <v>0.17073304042716922</v>
      </c>
      <c r="K22" s="34"/>
    </row>
    <row r="23" spans="1:14">
      <c r="A23" s="31">
        <v>-2.1694991836061122</v>
      </c>
      <c r="B23" s="31">
        <v>0.40455706179660555</v>
      </c>
      <c r="C23" s="36">
        <f t="shared" si="0"/>
        <v>1.5340415889209395E-2</v>
      </c>
      <c r="E23" s="32">
        <f t="shared" si="1"/>
        <v>0.11423481325443827</v>
      </c>
      <c r="K23" s="34"/>
    </row>
    <row r="24" spans="1:14">
      <c r="A24" s="31">
        <v>-2.5772495377323175</v>
      </c>
      <c r="B24" s="31">
        <v>0.41120612871231049</v>
      </c>
      <c r="C24" s="36">
        <f t="shared" si="0"/>
        <v>5.9242168164729096E-3</v>
      </c>
      <c r="E24" s="32">
        <f t="shared" si="1"/>
        <v>7.5982704441526008E-2</v>
      </c>
      <c r="K24" s="34"/>
    </row>
    <row r="25" spans="1:14">
      <c r="A25" s="31">
        <v>-2.9924908250023741</v>
      </c>
      <c r="B25" s="31">
        <v>0.41959775308115099</v>
      </c>
      <c r="C25" s="36">
        <f t="shared" si="0"/>
        <v>1.9019074802430675E-3</v>
      </c>
      <c r="E25" s="32">
        <f t="shared" si="1"/>
        <v>5.0162335386344334E-2</v>
      </c>
      <c r="K25" s="34"/>
    </row>
    <row r="26" spans="1:14">
      <c r="A26" s="31">
        <v>-3.4171674928185709</v>
      </c>
      <c r="B26" s="31">
        <v>0.43016371088061306</v>
      </c>
      <c r="C26" s="36">
        <f t="shared" si="0"/>
        <v>4.9992883985248157E-4</v>
      </c>
      <c r="E26" s="32">
        <f t="shared" si="1"/>
        <v>3.2805224497413583E-2</v>
      </c>
      <c r="K26" s="34"/>
    </row>
    <row r="27" spans="1:14">
      <c r="A27" s="31">
        <v>-3.8537554854714444</v>
      </c>
      <c r="B27" s="31">
        <v>0.44355318550140838</v>
      </c>
      <c r="C27" s="36">
        <f t="shared" si="0"/>
        <v>1.0541646007925858E-4</v>
      </c>
      <c r="E27" s="32">
        <f t="shared" si="1"/>
        <v>2.1199970570874214E-2</v>
      </c>
      <c r="K27" s="34"/>
    </row>
    <row r="28" spans="1:14">
      <c r="A28" s="31">
        <v>-4.3055479533511987</v>
      </c>
      <c r="B28" s="31">
        <v>0.46078645569094773</v>
      </c>
      <c r="C28" s="36">
        <f t="shared" si="0"/>
        <v>1.7337640204613515E-5</v>
      </c>
      <c r="E28" s="32">
        <f t="shared" si="1"/>
        <v>1.3493489712795178E-2</v>
      </c>
      <c r="K28" s="34"/>
    </row>
    <row r="29" spans="1:14">
      <c r="A29" s="31">
        <v>-4.777164503502596</v>
      </c>
      <c r="B29" s="31">
        <v>0.48357144073610903</v>
      </c>
      <c r="C29" s="36">
        <f t="shared" si="0"/>
        <v>2.1369198300785822E-6</v>
      </c>
      <c r="E29" s="32">
        <f t="shared" si="1"/>
        <v>8.4198395771653278E-3</v>
      </c>
      <c r="K29" s="34"/>
    </row>
    <row r="30" spans="1:14">
      <c r="A30" s="31">
        <v>-5.2755509865158805</v>
      </c>
      <c r="B30" s="31">
        <v>0.51503728466714538</v>
      </c>
      <c r="C30" s="36">
        <f t="shared" si="0"/>
        <v>1.8587831042048585E-7</v>
      </c>
      <c r="E30" s="32">
        <f t="shared" si="1"/>
        <v>5.1151375598652354E-3</v>
      </c>
      <c r="K30" s="34"/>
      <c r="M30" s="7"/>
      <c r="N30" s="8"/>
    </row>
    <row r="31" spans="1:14">
      <c r="A31" s="31">
        <v>-5.8122259495159136</v>
      </c>
      <c r="B31" s="31">
        <v>0.56174901464976601</v>
      </c>
      <c r="C31" s="36">
        <f t="shared" si="0"/>
        <v>1.0346434189931966E-8</v>
      </c>
      <c r="E31" s="32">
        <f t="shared" si="1"/>
        <v>2.9907653647105823E-3</v>
      </c>
      <c r="K31" s="34"/>
      <c r="M31" s="7"/>
      <c r="N31" s="8"/>
    </row>
    <row r="32" spans="1:14">
      <c r="A32" s="31">
        <v>-6.4094981492696608</v>
      </c>
      <c r="B32" s="31">
        <v>0.64095048591382653</v>
      </c>
      <c r="C32" s="36">
        <f t="shared" si="0"/>
        <v>3.0687676494147174E-10</v>
      </c>
      <c r="E32" s="32">
        <f t="shared" si="1"/>
        <v>1.6458502660061511E-3</v>
      </c>
      <c r="K32" s="34"/>
      <c r="M32" s="7"/>
      <c r="N32" s="8"/>
    </row>
    <row r="33" spans="1:14">
      <c r="A33" s="31">
        <v>-7.125813909830728</v>
      </c>
      <c r="B33" s="31">
        <v>0.82456652306565348</v>
      </c>
      <c r="C33" s="107">
        <f t="shared" si="0"/>
        <v>3.0974313976850067E-12</v>
      </c>
      <c r="E33" s="32">
        <f t="shared" si="1"/>
        <v>8.0407829649163545E-4</v>
      </c>
      <c r="K33" s="34"/>
      <c r="M33" s="7"/>
      <c r="N33" s="8"/>
    </row>
    <row r="34" spans="1:14">
      <c r="B34" s="108" t="s">
        <v>117</v>
      </c>
      <c r="C34" s="109">
        <f>SUM(C2:C33)</f>
        <v>0.99999999999999756</v>
      </c>
      <c r="K34" s="6"/>
      <c r="M34" s="7"/>
      <c r="N34" s="8"/>
    </row>
    <row r="35" spans="1:14">
      <c r="B35" s="31"/>
      <c r="C35" s="36"/>
      <c r="K35" s="6"/>
      <c r="M35" s="7"/>
      <c r="N35" s="8"/>
    </row>
    <row r="36" spans="1:14">
      <c r="K36" s="6"/>
      <c r="M36" s="7"/>
      <c r="N36" s="8"/>
    </row>
    <row r="37" spans="1:14">
      <c r="K37" s="6"/>
      <c r="M37" s="7"/>
      <c r="N37" s="8"/>
    </row>
    <row r="38" spans="1:14">
      <c r="K38" s="6"/>
      <c r="M38" s="7"/>
      <c r="N38" s="8"/>
    </row>
    <row r="39" spans="1:14">
      <c r="K39" s="6"/>
      <c r="M39" s="7"/>
      <c r="N39" s="8"/>
    </row>
  </sheetData>
  <mergeCells count="2">
    <mergeCell ref="I4:O9"/>
    <mergeCell ref="I11:O14"/>
  </mergeCells>
  <phoneticPr fontId="15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Q1</vt:lpstr>
      <vt:lpstr>Q2</vt:lpstr>
      <vt:lpstr>Q3-Investment Grade</vt:lpstr>
      <vt:lpstr>Q3-Speculative</vt:lpstr>
      <vt:lpstr>Q3-Combined</vt:lpstr>
      <vt:lpstr>Results Compared</vt:lpstr>
      <vt:lpstr>Discrete Distribution</vt:lpstr>
    </vt:vector>
  </TitlesOfParts>
  <Company>University of Ulm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Abt. Finanzwirtschaft</dc:creator>
  <cp:lastModifiedBy>朱赫</cp:lastModifiedBy>
  <cp:lastPrinted>2010-08-04T19:51:45Z</cp:lastPrinted>
  <dcterms:created xsi:type="dcterms:W3CDTF">2006-09-14T12:29:31Z</dcterms:created>
  <dcterms:modified xsi:type="dcterms:W3CDTF">2019-10-29T01:02:30Z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hinkcellXlWorkbookDoNotDelete" linkTarget="&lt;?xml version=&quot;1.0&quot; encoding=&quot;UTF-16&quot; standalone=&quot;yes&quot;?&gt;&#10;&lt;root reqver=&quot;16160&quot;&gt;&lt;version val=&quot;17973&quot;/&gt;&lt;CXlWorkbook id=&quot;1&quot;&gt;&lt;m_cxllink/&gt;&lt;/CXlWorkbook&gt;&lt;/root&gt;">
    <vt:bool>false</vt:bool>
  </property>
</Properties>
</file>